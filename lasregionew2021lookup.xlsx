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D7CBFF-08B3-40C5-BCE2-BD7BE93477CA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2" r:id="rId1"/>
    <sheet name="Sheet3" sheetId="4" r:id="rId2"/>
    <sheet name="Sheet4" sheetId="5" r:id="rId3"/>
    <sheet name="Sheet5" sheetId="6" r:id="rId4"/>
    <sheet name="LAS_REGION_EW_2021" sheetId="1" r:id="rId5"/>
  </sheets>
  <externalReferences>
    <externalReference r:id="rId6"/>
  </externalReferences>
  <calcPr calcId="191029"/>
  <pivotCaches>
    <pivotCache cacheId="26" r:id="rId7"/>
    <pivotCache cacheId="3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M6" i="4"/>
  <c r="M7" i="4"/>
  <c r="M8" i="4"/>
  <c r="M9" i="4"/>
  <c r="M10" i="4"/>
  <c r="M11" i="4"/>
  <c r="M12" i="4"/>
  <c r="M13" i="4"/>
  <c r="M14" i="4"/>
  <c r="L5" i="4"/>
  <c r="L6" i="4"/>
  <c r="L7" i="4"/>
  <c r="L8" i="4"/>
  <c r="L9" i="4"/>
  <c r="L10" i="4"/>
  <c r="L11" i="4"/>
  <c r="L12" i="4"/>
  <c r="L13" i="4"/>
  <c r="L14" i="4"/>
  <c r="K5" i="4"/>
  <c r="K6" i="4"/>
  <c r="K7" i="4"/>
  <c r="K8" i="4"/>
  <c r="K9" i="4"/>
  <c r="K10" i="4"/>
  <c r="K11" i="4"/>
  <c r="K12" i="4"/>
  <c r="K13" i="4"/>
  <c r="K14" i="4"/>
  <c r="J5" i="4"/>
  <c r="J6" i="4"/>
  <c r="J7" i="4"/>
  <c r="J8" i="4"/>
  <c r="J9" i="4"/>
  <c r="J10" i="4"/>
  <c r="J11" i="4"/>
  <c r="J12" i="4"/>
  <c r="J13" i="4"/>
  <c r="J14" i="4"/>
  <c r="M4" i="4"/>
  <c r="L4" i="4"/>
  <c r="K4" i="4"/>
  <c r="J4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2" i="1"/>
  <c r="H2" i="1"/>
  <c r="G2" i="1"/>
  <c r="F2" i="1"/>
</calcChain>
</file>

<file path=xl/sharedStrings.xml><?xml version="1.0" encoding="utf-8"?>
<sst xmlns="http://schemas.openxmlformats.org/spreadsheetml/2006/main" count="1406" uniqueCount="714">
  <si>
    <t>E06000001</t>
  </si>
  <si>
    <t>Hartlepool</t>
  </si>
  <si>
    <t>E12000001</t>
  </si>
  <si>
    <t>North East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</si>
  <si>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</si>
  <si>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</si>
  <si>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</si>
  <si>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</si>
  <si>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</si>
  <si>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</si>
  <si>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</si>
  <si>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</si>
  <si>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</si>
  <si>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</si>
  <si>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E12000002</t>
  </si>
  <si>
    <t>North West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</si>
  <si>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</si>
  <si>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</si>
  <si>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</si>
  <si>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</si>
  <si>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</si>
  <si>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</si>
  <si>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</si>
  <si>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</si>
  <si>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E12000003</t>
  </si>
  <si>
    <t>Yorkshire and The Humber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</si>
  <si>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</si>
  <si>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</si>
  <si>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</si>
  <si>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</si>
  <si>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</si>
  <si>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</si>
  <si>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</si>
  <si>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</si>
  <si>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</si>
  <si>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</si>
  <si>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E12000004</t>
  </si>
  <si>
    <t>East Midlands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</si>
  <si>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</si>
  <si>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</si>
  <si>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</si>
  <si>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</si>
  <si>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</si>
  <si>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</si>
  <si>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</si>
  <si>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</si>
  <si>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E12000005</t>
  </si>
  <si>
    <t>West Midlands</t>
  </si>
  <si>
    <t>E06000020</t>
  </si>
  <si>
    <t>Telford and Wrekin</t>
  </si>
  <si>
    <t>E06000021</t>
  </si>
  <si>
    <t>Stoke-on-Trent</t>
  </si>
  <si>
    <t>E06000022</t>
  </si>
  <si>
    <t>Bath and North East Somerset</t>
  </si>
  <si>
    <t>E12000009</t>
  </si>
  <si>
    <t>South West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</si>
  <si>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</si>
  <si>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</si>
  <si>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</si>
  <si>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</si>
  <si>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</si>
  <si>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</si>
  <si>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</si>
  <si>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</si>
  <si>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</si>
  <si>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</si>
  <si>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</si>
  <si>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</si>
  <si>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</si>
  <si>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</si>
  <si>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E12000006</t>
  </si>
  <si>
    <t>East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</si>
  <si>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</si>
  <si>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</si>
  <si>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</si>
  <si>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</si>
  <si>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</si>
  <si>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</si>
  <si>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</si>
  <si>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</si>
  <si>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E12000008</t>
  </si>
  <si>
    <t>South East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</si>
  <si>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</si>
  <si>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</si>
  <si>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</si>
  <si>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</si>
  <si>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</si>
  <si>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</si>
  <si>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</si>
  <si>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</si>
  <si>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</si>
  <si>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</si>
  <si>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</si>
  <si>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</si>
  <si>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</si>
  <si>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</si>
  <si>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</si>
  <si>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</si>
  <si>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</si>
  <si>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</si>
  <si>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</si>
  <si>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</si>
  <si>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</si>
  <si>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</si>
  <si>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</si>
  <si>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</si>
  <si>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</si>
  <si>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</si>
  <si>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</si>
  <si>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</si>
  <si>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</si>
  <si>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</si>
  <si>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</si>
  <si>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</si>
  <si>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</si>
  <si>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</si>
  <si>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</si>
  <si>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</si>
  <si>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</si>
  <si>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</si>
  <si>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</si>
  <si>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</si>
  <si>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</si>
  <si>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</si>
  <si>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</si>
  <si>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</si>
  <si>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</si>
  <si>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</si>
  <si>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</si>
  <si>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</si>
  <si>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</si>
  <si>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</si>
  <si>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</si>
  <si>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</si>
  <si>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</si>
  <si>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</si>
  <si>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</si>
  <si>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</si>
  <si>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</si>
  <si>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</si>
  <si>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</si>
  <si>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</si>
  <si>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</si>
  <si>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</si>
  <si>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</si>
  <si>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</si>
  <si>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</si>
  <si>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</si>
  <si>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</si>
  <si>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</si>
  <si>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</si>
  <si>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</si>
  <si>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</si>
  <si>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</si>
  <si>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</si>
  <si>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</si>
  <si>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</si>
  <si>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</si>
  <si>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</si>
  <si>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</si>
  <si>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</si>
  <si>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</si>
  <si>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</si>
  <si>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</si>
  <si>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</si>
  <si>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</si>
  <si>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</si>
  <si>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</si>
  <si>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</si>
  <si>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</si>
  <si>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</si>
  <si>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</si>
  <si>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</si>
  <si>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</si>
  <si>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</si>
  <si>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</si>
  <si>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</si>
  <si>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</si>
  <si>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</si>
  <si>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</si>
  <si>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</si>
  <si>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</si>
  <si>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</si>
  <si>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</si>
  <si>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</si>
  <si>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</si>
  <si>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</si>
  <si>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</si>
  <si>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</si>
  <si>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</si>
  <si>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</si>
  <si>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</si>
  <si>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</si>
  <si>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</si>
  <si>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</si>
  <si>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</si>
  <si>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</si>
  <si>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</si>
  <si>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</si>
  <si>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</si>
  <si>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</si>
  <si>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</si>
  <si>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</si>
  <si>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</si>
  <si>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</si>
  <si>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</si>
  <si>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</si>
  <si>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</si>
  <si>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</si>
  <si>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</si>
  <si>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</si>
  <si>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</si>
  <si>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</si>
  <si>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</si>
  <si>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</si>
  <si>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</si>
  <si>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</si>
  <si>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</si>
  <si>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</si>
  <si>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</si>
  <si>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</si>
  <si>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</si>
  <si>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</si>
  <si>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</si>
  <si>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</si>
  <si>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</si>
  <si>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</si>
  <si>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</si>
  <si>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</si>
  <si>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</si>
  <si>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</si>
  <si>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</si>
  <si>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</si>
  <si>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</si>
  <si>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</si>
  <si>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</si>
  <si>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</si>
  <si>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</si>
  <si>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</si>
  <si>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</si>
  <si>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</si>
  <si>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</si>
  <si>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</si>
  <si>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</si>
  <si>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</si>
  <si>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</si>
  <si>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</si>
  <si>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</si>
  <si>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</si>
  <si>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</si>
  <si>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</si>
  <si>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</si>
  <si>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</si>
  <si>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</si>
  <si>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</si>
  <si>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</si>
  <si>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</si>
  <si>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</si>
  <si>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</si>
  <si>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</si>
  <si>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</si>
  <si>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</si>
  <si>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</si>
  <si>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</si>
  <si>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</si>
  <si>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</si>
  <si>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</si>
  <si>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</si>
  <si>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</si>
  <si>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</si>
  <si>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</si>
  <si>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</si>
  <si>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</si>
  <si>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</si>
  <si>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</si>
  <si>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</si>
  <si>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</si>
  <si>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</si>
  <si>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</si>
  <si>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</si>
  <si>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</si>
  <si>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</si>
  <si>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</si>
  <si>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</si>
  <si>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</si>
  <si>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</si>
  <si>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</si>
  <si>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</si>
  <si>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</si>
  <si>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</si>
  <si>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</si>
  <si>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</si>
  <si>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</si>
  <si>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</si>
  <si>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</si>
  <si>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</si>
  <si>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</si>
  <si>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</si>
  <si>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</si>
  <si>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</si>
  <si>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</si>
  <si>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</si>
  <si>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</si>
  <si>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</si>
  <si>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</si>
  <si>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</si>
  <si>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</si>
  <si>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</si>
  <si>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</si>
  <si>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</si>
  <si>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</si>
  <si>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</si>
  <si>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</si>
  <si>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</si>
  <si>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</si>
  <si>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</si>
  <si>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</si>
  <si>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</si>
  <si>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</si>
  <si>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</si>
  <si>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</si>
  <si>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</si>
  <si>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</si>
  <si>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</si>
  <si>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</si>
  <si>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</si>
  <si>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</si>
  <si>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</si>
  <si>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</si>
  <si>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</si>
  <si>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</si>
  <si>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</si>
  <si>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</si>
  <si>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</si>
  <si>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</si>
  <si>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</si>
  <si>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</si>
  <si>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</si>
  <si>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</si>
  <si>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</si>
  <si>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</si>
  <si>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</si>
  <si>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</si>
  <si>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</si>
  <si>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</si>
  <si>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</si>
  <si>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</si>
  <si>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</si>
  <si>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</si>
  <si>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</si>
  <si>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</si>
  <si>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</si>
  <si>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</si>
  <si>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</si>
  <si>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</si>
  <si>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</si>
  <si>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</si>
  <si>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</si>
  <si>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</si>
  <si>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</si>
  <si>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</si>
  <si>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</si>
  <si>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</si>
  <si>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</si>
  <si>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</si>
  <si>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</si>
  <si>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</si>
  <si>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</si>
  <si>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</si>
  <si>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</si>
  <si>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</si>
  <si>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</si>
  <si>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</si>
  <si>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</si>
  <si>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</si>
  <si>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</si>
  <si>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</si>
  <si>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</si>
  <si>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</si>
  <si>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</si>
  <si>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</si>
  <si>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</si>
  <si>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</si>
  <si>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</si>
  <si>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</si>
  <si>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E07000187</t>
  </si>
  <si>
    <t>Mendip</t>
  </si>
  <si>
    <t>E07000188</t>
  </si>
  <si>
    <t>Sedgemoor</t>
  </si>
  <si>
    <t>E07000189</t>
  </si>
  <si>
    <t>South Somerset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</si>
  <si>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</si>
  <si>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</si>
  <si>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</si>
  <si>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</si>
  <si>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</si>
  <si>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</si>
  <si>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</si>
  <si>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</si>
  <si>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</si>
  <si>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</si>
  <si>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</si>
  <si>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</si>
  <si>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</si>
  <si>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</si>
  <si>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</si>
  <si>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</si>
  <si>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</si>
  <si>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</si>
  <si>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</si>
  <si>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</si>
  <si>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</si>
  <si>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</si>
  <si>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</si>
  <si>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</si>
  <si>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</si>
  <si>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</si>
  <si>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</si>
  <si>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</si>
  <si>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</si>
  <si>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</si>
  <si>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</si>
  <si>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</si>
  <si>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</si>
  <si>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</si>
  <si>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</si>
  <si>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</si>
  <si>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</si>
  <si>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</si>
  <si>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</si>
  <si>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</si>
  <si>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</si>
  <si>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</si>
  <si>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</si>
  <si>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</si>
  <si>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</si>
  <si>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</si>
  <si>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</si>
  <si>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</si>
  <si>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</si>
  <si>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</si>
  <si>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</si>
  <si>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</si>
  <si>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</si>
  <si>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</si>
  <si>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</si>
  <si>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</si>
  <si>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</si>
  <si>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</si>
  <si>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</si>
  <si>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</si>
  <si>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</si>
  <si>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</si>
  <si>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</si>
  <si>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</si>
  <si>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</si>
  <si>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</si>
  <si>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</si>
  <si>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</si>
  <si>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</si>
  <si>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</si>
  <si>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</si>
  <si>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</si>
  <si>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</si>
  <si>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</si>
  <si>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</si>
  <si>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</si>
  <si>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</si>
  <si>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</si>
  <si>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</si>
  <si>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</si>
  <si>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</si>
  <si>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</si>
  <si>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</si>
  <si>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</si>
  <si>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</si>
  <si>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</si>
  <si>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</si>
  <si>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</si>
  <si>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</si>
  <si>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</si>
  <si>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</si>
  <si>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</si>
  <si>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</si>
  <si>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</si>
  <si>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</si>
  <si>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</si>
  <si>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</si>
  <si>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</si>
  <si>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</si>
  <si>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</si>
  <si>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</si>
  <si>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</si>
  <si>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</si>
  <si>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</si>
  <si>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</si>
  <si>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</si>
  <si>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</si>
  <si>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</si>
  <si>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</si>
  <si>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</si>
  <si>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</si>
  <si>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</si>
  <si>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</si>
  <si>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</si>
  <si>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</si>
  <si>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</si>
  <si>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</si>
  <si>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</si>
  <si>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</si>
  <si>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</si>
  <si>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</si>
  <si>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</si>
  <si>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</si>
  <si>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</si>
  <si>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</si>
  <si>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</si>
  <si>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</si>
  <si>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</si>
  <si>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</si>
  <si>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</si>
  <si>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</si>
  <si>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</si>
  <si>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</si>
  <si>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</si>
  <si>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</si>
  <si>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</si>
  <si>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</si>
  <si>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</si>
  <si>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</si>
  <si>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</si>
  <si>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</si>
  <si>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</si>
  <si>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</si>
  <si>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</si>
  <si>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</si>
  <si>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</si>
  <si>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</si>
  <si>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</si>
  <si>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</si>
  <si>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</si>
  <si>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</si>
  <si>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</si>
  <si>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</si>
  <si>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</si>
  <si>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</si>
  <si>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</si>
  <si>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</si>
  <si>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</si>
  <si>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</si>
  <si>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</si>
  <si>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</si>
  <si>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</si>
  <si>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E12000007</t>
  </si>
  <si>
    <t>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</si>
  <si>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</si>
  <si>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</si>
  <si>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</si>
  <si>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</si>
  <si>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</si>
  <si>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</si>
  <si>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</si>
  <si>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</si>
  <si>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</si>
  <si>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</si>
  <si>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</si>
  <si>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</si>
  <si>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</si>
  <si>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</si>
  <si>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</si>
  <si>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</si>
  <si>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</si>
  <si>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</si>
  <si>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</si>
  <si>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</si>
  <si>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</si>
  <si>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</si>
  <si>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</si>
  <si>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</si>
  <si>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</si>
  <si>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</si>
  <si>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</si>
  <si>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</si>
  <si>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</si>
  <si>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</si>
  <si>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</si>
  <si>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</si>
  <si>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</si>
  <si>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</si>
  <si>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</si>
  <si>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</si>
  <si>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</si>
  <si>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</si>
  <si>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</si>
  <si>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</si>
  <si>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</si>
  <si>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</si>
  <si>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</si>
  <si>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</si>
  <si>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</si>
  <si>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</si>
  <si>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</si>
  <si>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</si>
  <si>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</si>
  <si>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</si>
  <si>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</si>
  <si>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</si>
  <si>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</si>
  <si>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</si>
  <si>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</si>
  <si>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</si>
  <si>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</si>
  <si>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</si>
  <si>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</si>
  <si>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</si>
  <si>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</si>
  <si>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</si>
  <si>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</si>
  <si>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</si>
  <si>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W06000001</t>
  </si>
  <si>
    <t>Isle of Anglesey</t>
  </si>
  <si>
    <t>W92000004</t>
  </si>
  <si>
    <t>Wales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</si>
  <si>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</si>
  <si>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</si>
  <si>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</si>
  <si>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</si>
  <si>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</si>
  <si>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</si>
  <si>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</si>
  <si>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</si>
  <si>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</si>
  <si>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</si>
  <si>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</si>
  <si>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</si>
  <si>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</si>
  <si>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</si>
  <si>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</si>
  <si>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</si>
  <si>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</si>
  <si>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</si>
  <si>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</si>
  <si>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</si>
  <si>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</si>
  <si>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</si>
  <si>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</si>
  <si>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</si>
  <si>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</si>
  <si>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</si>
  <si>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</si>
  <si>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</si>
  <si>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</si>
  <si>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</si>
  <si>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</si>
  <si>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</si>
  <si>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</si>
  <si>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</si>
  <si>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</si>
  <si>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</si>
  <si>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</si>
  <si>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</si>
  <si>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</si>
  <si>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</si>
  <si>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</si>
  <si>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</si>
  <si>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E06000058</t>
  </si>
  <si>
    <t>Bournemouth, Christchurch and Poole</t>
  </si>
  <si>
    <t>E06000059</t>
  </si>
  <si>
    <t>Dorset</t>
  </si>
  <si>
    <t>E07000246</t>
  </si>
  <si>
    <t>Somerset West and Taunton</t>
  </si>
  <si>
    <t>E07000245</t>
  </si>
  <si>
    <t>West Suffolk</t>
  </si>
  <si>
    <t>E07000244</t>
  </si>
  <si>
    <t>East Suffolk</t>
  </si>
  <si>
    <t>Folkestone and Hythe</t>
  </si>
  <si>
    <t>E06000060</t>
  </si>
  <si>
    <t>Buckinghamshire</t>
  </si>
  <si>
    <t>North Northamptonshire </t>
  </si>
  <si>
    <t>West Northamptonshire </t>
  </si>
  <si>
    <t>E06000061</t>
  </si>
  <si>
    <t>E06000062</t>
  </si>
  <si>
    <t>LA_code</t>
  </si>
  <si>
    <t>LA_name</t>
  </si>
  <si>
    <t>Region_code</t>
  </si>
  <si>
    <t>Region_name</t>
  </si>
  <si>
    <t>Row Labels</t>
  </si>
  <si>
    <t>Grand Total</t>
  </si>
  <si>
    <t>Sum of D</t>
  </si>
  <si>
    <t>Sum of F</t>
  </si>
  <si>
    <t>Sum of T</t>
  </si>
  <si>
    <t>Sum of sold_D</t>
  </si>
  <si>
    <t>Sum of sold_F</t>
  </si>
  <si>
    <t>Sum of sold_S</t>
  </si>
  <si>
    <t>Sum of sold_T</t>
  </si>
  <si>
    <t>semi-detached</t>
  </si>
  <si>
    <t>terraced</t>
  </si>
  <si>
    <t>flats/maisonettes</t>
  </si>
  <si>
    <t>detached</t>
  </si>
  <si>
    <t>Sum of detached</t>
  </si>
  <si>
    <t>Sum of semi-detached</t>
  </si>
  <si>
    <t>Sum of terraced</t>
  </si>
  <si>
    <t>Sum of flats/maisonettes</t>
  </si>
  <si>
    <t>%_D</t>
  </si>
  <si>
    <t>%_F</t>
  </si>
  <si>
    <t>%_S</t>
  </si>
  <si>
    <t>%_T</t>
  </si>
  <si>
    <t>sum of S</t>
  </si>
  <si>
    <t>Sum of Sum of D</t>
  </si>
  <si>
    <t>Sum of Sum of F</t>
  </si>
  <si>
    <t>Sum of sum of S</t>
  </si>
  <si>
    <t>Sum of Sum of T</t>
  </si>
  <si>
    <t>Properties sold</t>
  </si>
  <si>
    <t>Base dwelling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</si>
</sst>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%"/>
  </numFmts>
  <fonts count="7">
    <font>
      <sz val="11"/>
      <name val="Calibri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3" fillId="0" borderId="0" xfId="1" applyNumberFormat="1" applyFont="1"/>
    <xf numFmtId="169" fontId="0" fillId="0" borderId="0" xfId="1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Sales_District.xlsx" TargetMode="External"/><Relationship Id="rId1" Type="http://schemas.openxmlformats.org/officeDocument/2006/relationships/externalLinkPath" Target="Sales_Distri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 xml:space="preserve"> NOTTINGHAM</v>
          </cell>
          <cell r="B1" t="str">
            <v>Column Labels</v>
          </cell>
        </row>
        <row r="2">
          <cell r="A2" t="str">
            <v>ADUR</v>
          </cell>
          <cell r="B2" t="str">
            <v>D</v>
          </cell>
          <cell r="C2" t="str">
            <v>F</v>
          </cell>
          <cell r="D2" t="str">
            <v>S</v>
          </cell>
          <cell r="E2" t="str">
            <v>T</v>
          </cell>
        </row>
        <row r="3">
          <cell r="A3" t="str">
            <v>AMBER VALLEY</v>
          </cell>
          <cell r="B3">
            <v>9</v>
          </cell>
          <cell r="C3">
            <v>5</v>
          </cell>
          <cell r="D3">
            <v>11</v>
          </cell>
          <cell r="E3">
            <v>15</v>
          </cell>
        </row>
        <row r="4">
          <cell r="A4" t="str">
            <v>ARUN</v>
          </cell>
          <cell r="B4">
            <v>34</v>
          </cell>
          <cell r="C4">
            <v>6</v>
          </cell>
          <cell r="D4">
            <v>28</v>
          </cell>
          <cell r="E4">
            <v>25</v>
          </cell>
        </row>
        <row r="5">
          <cell r="A5" t="str">
            <v>ASHFIELD</v>
          </cell>
          <cell r="B5">
            <v>54</v>
          </cell>
          <cell r="C5">
            <v>26</v>
          </cell>
          <cell r="D5">
            <v>38</v>
          </cell>
          <cell r="E5">
            <v>39</v>
          </cell>
        </row>
        <row r="6">
          <cell r="A6" t="str">
            <v>ASHFORD</v>
          </cell>
          <cell r="B6">
            <v>28</v>
          </cell>
          <cell r="C6">
            <v>4</v>
          </cell>
          <cell r="D6">
            <v>39</v>
          </cell>
          <cell r="E6">
            <v>23</v>
          </cell>
        </row>
        <row r="7">
          <cell r="A7" t="str">
            <v>BABERGH</v>
          </cell>
          <cell r="B7">
            <v>30</v>
          </cell>
          <cell r="C7">
            <v>21</v>
          </cell>
          <cell r="D7">
            <v>37</v>
          </cell>
          <cell r="E7">
            <v>21</v>
          </cell>
        </row>
        <row r="8">
          <cell r="A8" t="str">
            <v>BARKING AND DAGENHAM</v>
          </cell>
          <cell r="B8">
            <v>38</v>
          </cell>
          <cell r="C8">
            <v>4</v>
          </cell>
          <cell r="D8">
            <v>35</v>
          </cell>
          <cell r="E8">
            <v>19</v>
          </cell>
        </row>
        <row r="9">
          <cell r="A9" t="str">
            <v>BARNET</v>
          </cell>
          <cell r="B9">
            <v>2</v>
          </cell>
          <cell r="C9">
            <v>20</v>
          </cell>
          <cell r="D9">
            <v>12</v>
          </cell>
          <cell r="E9">
            <v>57</v>
          </cell>
        </row>
        <row r="10">
          <cell r="A10" t="str">
            <v>BARNSLEY</v>
          </cell>
          <cell r="B10">
            <v>8</v>
          </cell>
          <cell r="C10">
            <v>179</v>
          </cell>
          <cell r="D10">
            <v>40</v>
          </cell>
          <cell r="E10">
            <v>34</v>
          </cell>
        </row>
        <row r="11">
          <cell r="A11" t="str">
            <v>BASILDON</v>
          </cell>
          <cell r="B11">
            <v>40</v>
          </cell>
          <cell r="C11">
            <v>8</v>
          </cell>
          <cell r="D11">
            <v>50</v>
          </cell>
          <cell r="E11">
            <v>62</v>
          </cell>
        </row>
        <row r="12">
          <cell r="A12" t="str">
            <v>BASINGSTOKE AND DEANE</v>
          </cell>
          <cell r="B12">
            <v>36</v>
          </cell>
          <cell r="C12">
            <v>13</v>
          </cell>
          <cell r="D12">
            <v>30</v>
          </cell>
          <cell r="E12">
            <v>37</v>
          </cell>
        </row>
        <row r="13">
          <cell r="A13" t="str">
            <v>BASSETLAW</v>
          </cell>
          <cell r="B13">
            <v>81</v>
          </cell>
          <cell r="C13">
            <v>31</v>
          </cell>
          <cell r="D13">
            <v>41</v>
          </cell>
          <cell r="E13">
            <v>49</v>
          </cell>
        </row>
        <row r="14">
          <cell r="A14" t="str">
            <v>BATH AND NORTH EAST SOMERSET</v>
          </cell>
          <cell r="B14">
            <v>43</v>
          </cell>
          <cell r="C14">
            <v>5</v>
          </cell>
          <cell r="D14">
            <v>40</v>
          </cell>
          <cell r="E14">
            <v>16</v>
          </cell>
        </row>
        <row r="15">
          <cell r="A15" t="str">
            <v>BEDFORD</v>
          </cell>
          <cell r="B15">
            <v>35</v>
          </cell>
          <cell r="C15">
            <v>30</v>
          </cell>
          <cell r="D15">
            <v>51</v>
          </cell>
          <cell r="E15">
            <v>58</v>
          </cell>
        </row>
        <row r="16">
          <cell r="A16" t="str">
            <v>BEXLEY</v>
          </cell>
          <cell r="B16">
            <v>52</v>
          </cell>
          <cell r="C16">
            <v>23</v>
          </cell>
          <cell r="D16">
            <v>39</v>
          </cell>
          <cell r="E16">
            <v>35</v>
          </cell>
        </row>
        <row r="17">
          <cell r="A17" t="str">
            <v>BIRMINGHAM</v>
          </cell>
          <cell r="B17">
            <v>6</v>
          </cell>
          <cell r="C17">
            <v>33</v>
          </cell>
          <cell r="D17">
            <v>62</v>
          </cell>
          <cell r="E17">
            <v>49</v>
          </cell>
        </row>
        <row r="18">
          <cell r="A18" t="str">
            <v>BLABY</v>
          </cell>
          <cell r="B18">
            <v>80</v>
          </cell>
          <cell r="C18">
            <v>140</v>
          </cell>
          <cell r="D18">
            <v>203</v>
          </cell>
          <cell r="E18">
            <v>208</v>
          </cell>
        </row>
        <row r="19">
          <cell r="A19" t="str">
            <v>BLACKBURN WITH DARWEN</v>
          </cell>
          <cell r="B19">
            <v>32</v>
          </cell>
          <cell r="C19">
            <v>2</v>
          </cell>
          <cell r="D19">
            <v>27</v>
          </cell>
          <cell r="E19">
            <v>8</v>
          </cell>
        </row>
        <row r="20">
          <cell r="A20" t="str">
            <v>BLACKPOOL</v>
          </cell>
          <cell r="B20">
            <v>33</v>
          </cell>
          <cell r="C20">
            <v>4</v>
          </cell>
          <cell r="D20">
            <v>28</v>
          </cell>
          <cell r="E20">
            <v>54</v>
          </cell>
        </row>
        <row r="21">
          <cell r="A21" t="str">
            <v>BLAENAU GWENT</v>
          </cell>
          <cell r="B21">
            <v>14</v>
          </cell>
          <cell r="C21">
            <v>13</v>
          </cell>
          <cell r="D21">
            <v>52</v>
          </cell>
          <cell r="E21">
            <v>46</v>
          </cell>
        </row>
        <row r="22">
          <cell r="A22" t="str">
            <v>BOLSOVER</v>
          </cell>
          <cell r="B22">
            <v>1</v>
          </cell>
          <cell r="C22">
            <v>1</v>
          </cell>
          <cell r="D22">
            <v>7</v>
          </cell>
          <cell r="E22">
            <v>26</v>
          </cell>
        </row>
        <row r="23">
          <cell r="A23" t="str">
            <v>BOLTON</v>
          </cell>
          <cell r="B23">
            <v>21</v>
          </cell>
          <cell r="C23">
            <v>1</v>
          </cell>
          <cell r="D23">
            <v>27</v>
          </cell>
          <cell r="E23">
            <v>17</v>
          </cell>
        </row>
        <row r="24">
          <cell r="A24" t="str">
            <v>BOSTON</v>
          </cell>
          <cell r="B24">
            <v>44</v>
          </cell>
          <cell r="C24">
            <v>12</v>
          </cell>
          <cell r="D24">
            <v>88</v>
          </cell>
          <cell r="E24">
            <v>84</v>
          </cell>
        </row>
        <row r="25">
          <cell r="A25" t="str">
            <v>BOURNEMOUTH, CHRISTCHURCH AND POOLE</v>
          </cell>
          <cell r="B25">
            <v>26</v>
          </cell>
          <cell r="D25">
            <v>9</v>
          </cell>
          <cell r="E25">
            <v>8</v>
          </cell>
        </row>
        <row r="26">
          <cell r="A26" t="str">
            <v>BRACKNELL FOREST</v>
          </cell>
          <cell r="B26">
            <v>124</v>
          </cell>
          <cell r="C26">
            <v>131</v>
          </cell>
          <cell r="D26">
            <v>47</v>
          </cell>
          <cell r="E26">
            <v>39</v>
          </cell>
        </row>
        <row r="27">
          <cell r="A27" t="str">
            <v>BRADFORD</v>
          </cell>
          <cell r="B27">
            <v>34</v>
          </cell>
          <cell r="C27">
            <v>29</v>
          </cell>
          <cell r="D27">
            <v>25</v>
          </cell>
          <cell r="E27">
            <v>29</v>
          </cell>
        </row>
        <row r="28">
          <cell r="A28" t="str">
            <v>BRAINTREE</v>
          </cell>
          <cell r="B28">
            <v>73</v>
          </cell>
          <cell r="C28">
            <v>63</v>
          </cell>
          <cell r="D28">
            <v>142</v>
          </cell>
          <cell r="E28">
            <v>170</v>
          </cell>
        </row>
        <row r="29">
          <cell r="A29" t="str">
            <v>BRECKLAND</v>
          </cell>
          <cell r="B29">
            <v>58</v>
          </cell>
          <cell r="C29">
            <v>20</v>
          </cell>
          <cell r="D29">
            <v>40</v>
          </cell>
          <cell r="E29">
            <v>20</v>
          </cell>
        </row>
        <row r="30">
          <cell r="A30" t="str">
            <v>BRENT</v>
          </cell>
          <cell r="B30">
            <v>59</v>
          </cell>
          <cell r="D30">
            <v>17</v>
          </cell>
          <cell r="E30">
            <v>26</v>
          </cell>
        </row>
        <row r="31">
          <cell r="A31" t="str">
            <v>BRENTWOOD</v>
          </cell>
          <cell r="B31">
            <v>2</v>
          </cell>
          <cell r="C31">
            <v>93</v>
          </cell>
          <cell r="D31">
            <v>19</v>
          </cell>
          <cell r="E31">
            <v>21</v>
          </cell>
        </row>
        <row r="32">
          <cell r="A32" t="str">
            <v>BRIDGEND</v>
          </cell>
          <cell r="B32">
            <v>26</v>
          </cell>
          <cell r="C32">
            <v>20</v>
          </cell>
          <cell r="D32">
            <v>23</v>
          </cell>
          <cell r="E32">
            <v>14</v>
          </cell>
        </row>
        <row r="33">
          <cell r="A33" t="str">
            <v>BRIGHTON AND HOVE</v>
          </cell>
          <cell r="B33">
            <v>20</v>
          </cell>
          <cell r="C33">
            <v>2</v>
          </cell>
          <cell r="D33">
            <v>37</v>
          </cell>
          <cell r="E33">
            <v>33</v>
          </cell>
        </row>
        <row r="34">
          <cell r="A34" t="str">
            <v>BROADLAND</v>
          </cell>
          <cell r="B34">
            <v>22</v>
          </cell>
          <cell r="C34">
            <v>116</v>
          </cell>
          <cell r="D34">
            <v>31</v>
          </cell>
          <cell r="E34">
            <v>73</v>
          </cell>
        </row>
        <row r="35">
          <cell r="A35" t="str">
            <v>BROMLEY</v>
          </cell>
          <cell r="B35">
            <v>55</v>
          </cell>
          <cell r="C35">
            <v>8</v>
          </cell>
          <cell r="D35">
            <v>37</v>
          </cell>
          <cell r="E35">
            <v>14</v>
          </cell>
        </row>
        <row r="36">
          <cell r="A36" t="str">
            <v>BROMSGROVE</v>
          </cell>
          <cell r="B36">
            <v>39</v>
          </cell>
          <cell r="C36">
            <v>73</v>
          </cell>
          <cell r="D36">
            <v>58</v>
          </cell>
          <cell r="E36">
            <v>45</v>
          </cell>
        </row>
        <row r="37">
          <cell r="A37" t="str">
            <v>BROXBOURNE</v>
          </cell>
          <cell r="B37">
            <v>22</v>
          </cell>
          <cell r="C37">
            <v>3</v>
          </cell>
          <cell r="D37">
            <v>19</v>
          </cell>
          <cell r="E37">
            <v>13</v>
          </cell>
        </row>
        <row r="38">
          <cell r="A38" t="str">
            <v>BROXTOWE</v>
          </cell>
          <cell r="B38">
            <v>10</v>
          </cell>
          <cell r="C38">
            <v>43</v>
          </cell>
          <cell r="D38">
            <v>25</v>
          </cell>
          <cell r="E38">
            <v>25</v>
          </cell>
        </row>
        <row r="39">
          <cell r="A39" t="str">
            <v>BUCKINGHAMSHIRE</v>
          </cell>
          <cell r="B39">
            <v>32</v>
          </cell>
          <cell r="C39">
            <v>5</v>
          </cell>
          <cell r="D39">
            <v>38</v>
          </cell>
          <cell r="E39">
            <v>16</v>
          </cell>
        </row>
        <row r="40">
          <cell r="A40" t="str">
            <v>BURNLEY</v>
          </cell>
          <cell r="B40">
            <v>134</v>
          </cell>
          <cell r="C40">
            <v>103</v>
          </cell>
          <cell r="D40">
            <v>90</v>
          </cell>
          <cell r="E40">
            <v>87</v>
          </cell>
        </row>
        <row r="41">
          <cell r="A41" t="str">
            <v>BURY</v>
          </cell>
          <cell r="B41">
            <v>12</v>
          </cell>
          <cell r="C41">
            <v>15</v>
          </cell>
          <cell r="D41">
            <v>28</v>
          </cell>
          <cell r="E41">
            <v>46</v>
          </cell>
        </row>
        <row r="42">
          <cell r="A42" t="str">
            <v>CAERPHILLY</v>
          </cell>
          <cell r="B42">
            <v>35</v>
          </cell>
          <cell r="C42">
            <v>6</v>
          </cell>
          <cell r="D42">
            <v>72</v>
          </cell>
          <cell r="E42">
            <v>47</v>
          </cell>
        </row>
        <row r="43">
          <cell r="A43" t="str">
            <v>CALDERDALE</v>
          </cell>
          <cell r="B43">
            <v>18</v>
          </cell>
          <cell r="C43">
            <v>1</v>
          </cell>
          <cell r="D43">
            <v>42</v>
          </cell>
          <cell r="E43">
            <v>41</v>
          </cell>
        </row>
        <row r="44">
          <cell r="A44" t="str">
            <v>CAMBRIDGE</v>
          </cell>
          <cell r="B44">
            <v>35</v>
          </cell>
          <cell r="C44">
            <v>12</v>
          </cell>
          <cell r="D44">
            <v>53</v>
          </cell>
          <cell r="E44">
            <v>78</v>
          </cell>
        </row>
        <row r="45">
          <cell r="A45" t="str">
            <v>CAMDEN</v>
          </cell>
          <cell r="B45">
            <v>5</v>
          </cell>
          <cell r="C45">
            <v>25</v>
          </cell>
          <cell r="D45">
            <v>19</v>
          </cell>
          <cell r="E45">
            <v>37</v>
          </cell>
        </row>
        <row r="46">
          <cell r="A46" t="str">
            <v>CANNOCK CHASE</v>
          </cell>
          <cell r="B46">
            <v>1</v>
          </cell>
          <cell r="C46">
            <v>108</v>
          </cell>
          <cell r="D46">
            <v>5</v>
          </cell>
          <cell r="E46">
            <v>16</v>
          </cell>
        </row>
        <row r="47">
          <cell r="A47" t="str">
            <v>CANTERBURY</v>
          </cell>
          <cell r="B47">
            <v>28</v>
          </cell>
          <cell r="C47">
            <v>1</v>
          </cell>
          <cell r="D47">
            <v>28</v>
          </cell>
          <cell r="E47">
            <v>16</v>
          </cell>
        </row>
        <row r="48">
          <cell r="A48" t="str">
            <v>CARDIFF</v>
          </cell>
          <cell r="B48">
            <v>48</v>
          </cell>
          <cell r="C48">
            <v>14</v>
          </cell>
          <cell r="D48">
            <v>49</v>
          </cell>
          <cell r="E48">
            <v>26</v>
          </cell>
        </row>
        <row r="49">
          <cell r="A49" t="str">
            <v>CARMARTHENSHIRE</v>
          </cell>
          <cell r="B49">
            <v>22</v>
          </cell>
          <cell r="C49">
            <v>69</v>
          </cell>
          <cell r="D49">
            <v>62</v>
          </cell>
          <cell r="E49">
            <v>88</v>
          </cell>
        </row>
        <row r="50">
          <cell r="A50" t="str">
            <v>CASTLE POINT</v>
          </cell>
          <cell r="B50">
            <v>49</v>
          </cell>
          <cell r="C50">
            <v>4</v>
          </cell>
          <cell r="D50">
            <v>38</v>
          </cell>
          <cell r="E50">
            <v>27</v>
          </cell>
        </row>
        <row r="51">
          <cell r="A51" t="str">
            <v>CENTRAL BEDFORDSHIRE</v>
          </cell>
          <cell r="B51">
            <v>29</v>
          </cell>
          <cell r="C51">
            <v>2</v>
          </cell>
          <cell r="D51">
            <v>19</v>
          </cell>
          <cell r="E51">
            <v>4</v>
          </cell>
        </row>
        <row r="52">
          <cell r="A52" t="str">
            <v>CEREDIGION</v>
          </cell>
          <cell r="B52">
            <v>81</v>
          </cell>
          <cell r="C52">
            <v>28</v>
          </cell>
          <cell r="D52">
            <v>106</v>
          </cell>
          <cell r="E52">
            <v>73</v>
          </cell>
        </row>
        <row r="53">
          <cell r="A53" t="str">
            <v>CHARNWOOD</v>
          </cell>
          <cell r="B53">
            <v>15</v>
          </cell>
          <cell r="C53">
            <v>3</v>
          </cell>
          <cell r="D53">
            <v>6</v>
          </cell>
          <cell r="E53">
            <v>8</v>
          </cell>
        </row>
        <row r="54">
          <cell r="A54" t="str">
            <v>CHELMSFORD</v>
          </cell>
          <cell r="B54">
            <v>59</v>
          </cell>
          <cell r="C54">
            <v>16</v>
          </cell>
          <cell r="D54">
            <v>62</v>
          </cell>
          <cell r="E54">
            <v>28</v>
          </cell>
        </row>
        <row r="55">
          <cell r="A55" t="str">
            <v>CHELTENHAM</v>
          </cell>
          <cell r="B55">
            <v>52</v>
          </cell>
          <cell r="C55">
            <v>27</v>
          </cell>
          <cell r="D55">
            <v>42</v>
          </cell>
          <cell r="E55">
            <v>21</v>
          </cell>
        </row>
        <row r="56">
          <cell r="A56" t="str">
            <v>CHERWELL</v>
          </cell>
          <cell r="B56">
            <v>22</v>
          </cell>
          <cell r="C56">
            <v>38</v>
          </cell>
          <cell r="D56">
            <v>32</v>
          </cell>
          <cell r="E56">
            <v>41</v>
          </cell>
        </row>
        <row r="57">
          <cell r="A57" t="str">
            <v>CHESHIRE EAST</v>
          </cell>
          <cell r="B57">
            <v>37</v>
          </cell>
          <cell r="C57">
            <v>8</v>
          </cell>
          <cell r="D57">
            <v>87</v>
          </cell>
          <cell r="E57">
            <v>43</v>
          </cell>
        </row>
        <row r="58">
          <cell r="A58" t="str">
            <v>CHESHIRE WEST AND CHESTER</v>
          </cell>
          <cell r="B58">
            <v>177</v>
          </cell>
          <cell r="C58">
            <v>32</v>
          </cell>
          <cell r="D58">
            <v>144</v>
          </cell>
          <cell r="E58">
            <v>86</v>
          </cell>
        </row>
        <row r="59">
          <cell r="A59" t="str">
            <v>CHESTERFIELD</v>
          </cell>
          <cell r="B59">
            <v>91</v>
          </cell>
          <cell r="C59">
            <v>26</v>
          </cell>
          <cell r="D59">
            <v>120</v>
          </cell>
          <cell r="E59">
            <v>69</v>
          </cell>
        </row>
        <row r="60">
          <cell r="A60" t="str">
            <v>CHICHESTER</v>
          </cell>
          <cell r="B60">
            <v>22</v>
          </cell>
          <cell r="C60">
            <v>10</v>
          </cell>
          <cell r="D60">
            <v>31</v>
          </cell>
          <cell r="E60">
            <v>27</v>
          </cell>
        </row>
        <row r="61">
          <cell r="A61" t="str">
            <v>CHORLEY</v>
          </cell>
          <cell r="B61">
            <v>42</v>
          </cell>
          <cell r="C61">
            <v>9</v>
          </cell>
          <cell r="D61">
            <v>18</v>
          </cell>
          <cell r="E61">
            <v>28</v>
          </cell>
        </row>
        <row r="62">
          <cell r="A62" t="str">
            <v>BRISTOL, CITY OF</v>
          </cell>
          <cell r="B62">
            <v>23</v>
          </cell>
          <cell r="C62">
            <v>6</v>
          </cell>
          <cell r="D62">
            <v>29</v>
          </cell>
          <cell r="E62">
            <v>25</v>
          </cell>
        </row>
        <row r="63">
          <cell r="A63" t="str">
            <v>KINGSTON UPON HULL, CITY OF</v>
          </cell>
          <cell r="B63">
            <v>16</v>
          </cell>
          <cell r="C63">
            <v>101</v>
          </cell>
          <cell r="D63">
            <v>82</v>
          </cell>
          <cell r="E63">
            <v>172</v>
          </cell>
        </row>
        <row r="64">
          <cell r="A64" t="str">
            <v>CITY OF LONDON</v>
          </cell>
          <cell r="B64">
            <v>54</v>
          </cell>
          <cell r="C64">
            <v>15</v>
          </cell>
          <cell r="D64">
            <v>88</v>
          </cell>
          <cell r="E64">
            <v>41</v>
          </cell>
        </row>
        <row r="65">
          <cell r="A65" t="str">
            <v>COLCHESTER</v>
          </cell>
          <cell r="B65">
            <v>14</v>
          </cell>
          <cell r="C65">
            <v>15</v>
          </cell>
          <cell r="D65">
            <v>54</v>
          </cell>
          <cell r="E65">
            <v>124</v>
          </cell>
        </row>
        <row r="66">
          <cell r="A66" t="str">
            <v>CONWY</v>
          </cell>
          <cell r="C66">
            <v>4</v>
          </cell>
          <cell r="E66">
            <v>1</v>
          </cell>
        </row>
        <row r="67">
          <cell r="A67" t="str">
            <v>CORNWALL</v>
          </cell>
          <cell r="B67">
            <v>34</v>
          </cell>
          <cell r="C67">
            <v>41</v>
          </cell>
          <cell r="D67">
            <v>57</v>
          </cell>
          <cell r="E67">
            <v>74</v>
          </cell>
        </row>
        <row r="68">
          <cell r="A68" t="str">
            <v>COTSWOLD</v>
          </cell>
          <cell r="B68">
            <v>51</v>
          </cell>
          <cell r="C68">
            <v>11</v>
          </cell>
          <cell r="D68">
            <v>36</v>
          </cell>
          <cell r="E68">
            <v>35</v>
          </cell>
        </row>
        <row r="69">
          <cell r="A69" t="str">
            <v>Count of Transaction_ID</v>
          </cell>
          <cell r="B69">
            <v>30</v>
          </cell>
          <cell r="C69">
            <v>29</v>
          </cell>
          <cell r="D69">
            <v>48</v>
          </cell>
          <cell r="E69">
            <v>74</v>
          </cell>
        </row>
        <row r="70">
          <cell r="A70" t="str">
            <v>COUNTY DURHAM</v>
          </cell>
          <cell r="B70">
            <v>1</v>
          </cell>
          <cell r="C70">
            <v>171</v>
          </cell>
          <cell r="D70">
            <v>2</v>
          </cell>
          <cell r="E70">
            <v>18</v>
          </cell>
        </row>
        <row r="71">
          <cell r="A71" t="str">
            <v>COVENTRY</v>
          </cell>
          <cell r="B71">
            <v>49</v>
          </cell>
          <cell r="C71">
            <v>28</v>
          </cell>
          <cell r="D71">
            <v>49</v>
          </cell>
          <cell r="E71">
            <v>36</v>
          </cell>
        </row>
        <row r="72">
          <cell r="A72" t="str">
            <v>CRAWLEY</v>
          </cell>
          <cell r="B72">
            <v>50</v>
          </cell>
          <cell r="C72">
            <v>17</v>
          </cell>
          <cell r="D72">
            <v>23</v>
          </cell>
          <cell r="E72">
            <v>17</v>
          </cell>
        </row>
        <row r="73">
          <cell r="A73" t="str">
            <v>CROYDON</v>
          </cell>
          <cell r="B73">
            <v>223</v>
          </cell>
          <cell r="C73">
            <v>135</v>
          </cell>
          <cell r="D73">
            <v>104</v>
          </cell>
          <cell r="E73">
            <v>157</v>
          </cell>
        </row>
        <row r="74">
          <cell r="A74" t="str">
            <v>CUMBERLAND</v>
          </cell>
          <cell r="B74">
            <v>44</v>
          </cell>
          <cell r="C74">
            <v>4</v>
          </cell>
          <cell r="D74">
            <v>23</v>
          </cell>
          <cell r="E74">
            <v>18</v>
          </cell>
        </row>
        <row r="75">
          <cell r="A75" t="str">
            <v>DACORUM</v>
          </cell>
          <cell r="B75">
            <v>111</v>
          </cell>
          <cell r="C75">
            <v>8</v>
          </cell>
          <cell r="D75">
            <v>141</v>
          </cell>
          <cell r="E75">
            <v>207</v>
          </cell>
        </row>
        <row r="76">
          <cell r="A76" t="str">
            <v>DARLINGTON</v>
          </cell>
          <cell r="B76">
            <v>26</v>
          </cell>
          <cell r="C76">
            <v>31</v>
          </cell>
          <cell r="D76">
            <v>53</v>
          </cell>
          <cell r="E76">
            <v>98</v>
          </cell>
        </row>
        <row r="77">
          <cell r="A77" t="str">
            <v>DARTFORD</v>
          </cell>
          <cell r="B77">
            <v>5</v>
          </cell>
          <cell r="C77">
            <v>12</v>
          </cell>
          <cell r="D77">
            <v>11</v>
          </cell>
          <cell r="E77">
            <v>24</v>
          </cell>
        </row>
        <row r="78">
          <cell r="A78" t="str">
            <v>DENBIGHSHIRE</v>
          </cell>
          <cell r="B78">
            <v>27</v>
          </cell>
          <cell r="C78">
            <v>96</v>
          </cell>
          <cell r="D78">
            <v>39</v>
          </cell>
          <cell r="E78">
            <v>74</v>
          </cell>
        </row>
        <row r="79">
          <cell r="A79" t="str">
            <v>DERBY</v>
          </cell>
          <cell r="B79">
            <v>71</v>
          </cell>
          <cell r="C79">
            <v>20</v>
          </cell>
          <cell r="D79">
            <v>81</v>
          </cell>
          <cell r="E79">
            <v>101</v>
          </cell>
        </row>
        <row r="80">
          <cell r="A80" t="str">
            <v>DERBYSHIRE DALES</v>
          </cell>
          <cell r="B80">
            <v>28</v>
          </cell>
          <cell r="C80">
            <v>22</v>
          </cell>
          <cell r="D80">
            <v>40</v>
          </cell>
          <cell r="E80">
            <v>41</v>
          </cell>
        </row>
        <row r="81">
          <cell r="A81" t="str">
            <v>DONCASTER</v>
          </cell>
          <cell r="B81">
            <v>23</v>
          </cell>
          <cell r="C81">
            <v>5</v>
          </cell>
          <cell r="D81">
            <v>27</v>
          </cell>
          <cell r="E81">
            <v>40</v>
          </cell>
        </row>
        <row r="82">
          <cell r="A82" t="str">
            <v>DORSET</v>
          </cell>
          <cell r="B82">
            <v>15</v>
          </cell>
          <cell r="C82">
            <v>36</v>
          </cell>
          <cell r="D82">
            <v>24</v>
          </cell>
          <cell r="E82">
            <v>52</v>
          </cell>
        </row>
        <row r="83">
          <cell r="A83" t="str">
            <v>DOVER</v>
          </cell>
          <cell r="B83">
            <v>43</v>
          </cell>
          <cell r="C83">
            <v>1</v>
          </cell>
          <cell r="D83">
            <v>21</v>
          </cell>
          <cell r="E83">
            <v>14</v>
          </cell>
        </row>
        <row r="84">
          <cell r="A84" t="str">
            <v>DUDLEY</v>
          </cell>
          <cell r="B84">
            <v>29</v>
          </cell>
          <cell r="C84">
            <v>3</v>
          </cell>
          <cell r="D84">
            <v>17</v>
          </cell>
          <cell r="E84">
            <v>18</v>
          </cell>
        </row>
        <row r="85">
          <cell r="A85" t="str">
            <v>EALING</v>
          </cell>
          <cell r="B85">
            <v>64</v>
          </cell>
          <cell r="C85">
            <v>12</v>
          </cell>
          <cell r="D85">
            <v>121</v>
          </cell>
          <cell r="E85">
            <v>80</v>
          </cell>
        </row>
        <row r="86">
          <cell r="A86" t="str">
            <v>EAST CAMBRIDGESHIRE</v>
          </cell>
          <cell r="B86">
            <v>172</v>
          </cell>
          <cell r="C86">
            <v>102</v>
          </cell>
          <cell r="D86">
            <v>82</v>
          </cell>
          <cell r="E86">
            <v>115</v>
          </cell>
        </row>
        <row r="87">
          <cell r="A87" t="str">
            <v>EAST DEVON</v>
          </cell>
          <cell r="B87">
            <v>33</v>
          </cell>
          <cell r="C87">
            <v>17</v>
          </cell>
          <cell r="D87">
            <v>21</v>
          </cell>
          <cell r="E87">
            <v>38</v>
          </cell>
        </row>
        <row r="88">
          <cell r="A88" t="str">
            <v>EAST HAMPSHIRE</v>
          </cell>
          <cell r="B88">
            <v>42</v>
          </cell>
          <cell r="C88">
            <v>18</v>
          </cell>
          <cell r="D88">
            <v>68</v>
          </cell>
          <cell r="E88">
            <v>43</v>
          </cell>
        </row>
        <row r="89">
          <cell r="A89" t="str">
            <v>EAST HERTFORDSHIRE</v>
          </cell>
          <cell r="B89">
            <v>9</v>
          </cell>
          <cell r="C89">
            <v>161</v>
          </cell>
          <cell r="D89">
            <v>27</v>
          </cell>
          <cell r="E89">
            <v>42</v>
          </cell>
        </row>
        <row r="90">
          <cell r="A90" t="str">
            <v>EAST LINDSEY</v>
          </cell>
          <cell r="B90">
            <v>30</v>
          </cell>
          <cell r="C90">
            <v>3</v>
          </cell>
          <cell r="D90">
            <v>21</v>
          </cell>
          <cell r="E90">
            <v>17</v>
          </cell>
        </row>
        <row r="91">
          <cell r="A91" t="str">
            <v>EAST RIDING OF YORKSHIRE</v>
          </cell>
          <cell r="B91">
            <v>62</v>
          </cell>
          <cell r="C91">
            <v>15</v>
          </cell>
          <cell r="D91">
            <v>46</v>
          </cell>
          <cell r="E91">
            <v>35</v>
          </cell>
        </row>
        <row r="92">
          <cell r="A92" t="str">
            <v>EAST STAFFORDSHIRE</v>
          </cell>
          <cell r="B92">
            <v>47</v>
          </cell>
          <cell r="C92">
            <v>23</v>
          </cell>
          <cell r="D92">
            <v>25</v>
          </cell>
          <cell r="E92">
            <v>19</v>
          </cell>
        </row>
        <row r="93">
          <cell r="A93" t="str">
            <v>EAST SUFFOLK</v>
          </cell>
          <cell r="B93">
            <v>24</v>
          </cell>
          <cell r="C93">
            <v>32</v>
          </cell>
          <cell r="D93">
            <v>33</v>
          </cell>
          <cell r="E93">
            <v>50</v>
          </cell>
        </row>
        <row r="94">
          <cell r="A94" t="str">
            <v>EASTBOURNE</v>
          </cell>
          <cell r="B94">
            <v>67</v>
          </cell>
          <cell r="C94">
            <v>3</v>
          </cell>
          <cell r="D94">
            <v>38</v>
          </cell>
          <cell r="E94">
            <v>22</v>
          </cell>
        </row>
        <row r="95">
          <cell r="A95" t="str">
            <v>EASTLEIGH</v>
          </cell>
          <cell r="B95">
            <v>114</v>
          </cell>
          <cell r="C95">
            <v>16</v>
          </cell>
          <cell r="D95">
            <v>116</v>
          </cell>
          <cell r="E95">
            <v>66</v>
          </cell>
        </row>
        <row r="96">
          <cell r="A96" t="str">
            <v>ELMBRIDGE</v>
          </cell>
          <cell r="B96">
            <v>48</v>
          </cell>
          <cell r="C96">
            <v>9</v>
          </cell>
          <cell r="D96">
            <v>43</v>
          </cell>
          <cell r="E96">
            <v>35</v>
          </cell>
        </row>
        <row r="97">
          <cell r="A97" t="str">
            <v>ENFIELD</v>
          </cell>
          <cell r="B97">
            <v>112</v>
          </cell>
          <cell r="C97">
            <v>19</v>
          </cell>
          <cell r="D97">
            <v>60</v>
          </cell>
          <cell r="E97">
            <v>62</v>
          </cell>
        </row>
        <row r="98">
          <cell r="A98" t="str">
            <v>EPPING FOREST</v>
          </cell>
          <cell r="B98">
            <v>16</v>
          </cell>
          <cell r="C98">
            <v>41</v>
          </cell>
          <cell r="D98">
            <v>23</v>
          </cell>
          <cell r="E98">
            <v>18</v>
          </cell>
        </row>
        <row r="99">
          <cell r="A99" t="str">
            <v>EPSOM AND EWELL</v>
          </cell>
          <cell r="B99">
            <v>33</v>
          </cell>
          <cell r="C99">
            <v>29</v>
          </cell>
          <cell r="D99">
            <v>24</v>
          </cell>
          <cell r="E99">
            <v>28</v>
          </cell>
        </row>
        <row r="100">
          <cell r="A100" t="str">
            <v>EREWASH</v>
          </cell>
          <cell r="B100">
            <v>27</v>
          </cell>
          <cell r="C100">
            <v>43</v>
          </cell>
          <cell r="D100">
            <v>24</v>
          </cell>
          <cell r="E100">
            <v>13</v>
          </cell>
        </row>
        <row r="101">
          <cell r="A101" t="str">
            <v>EXETER</v>
          </cell>
          <cell r="B101">
            <v>4</v>
          </cell>
          <cell r="C101">
            <v>55</v>
          </cell>
          <cell r="D101">
            <v>30</v>
          </cell>
          <cell r="E101">
            <v>70</v>
          </cell>
        </row>
        <row r="102">
          <cell r="A102" t="str">
            <v>FAREHAM</v>
          </cell>
          <cell r="B102">
            <v>26</v>
          </cell>
          <cell r="C102">
            <v>30</v>
          </cell>
          <cell r="D102">
            <v>33</v>
          </cell>
          <cell r="E102">
            <v>34</v>
          </cell>
        </row>
        <row r="103">
          <cell r="A103" t="str">
            <v>FENLAND</v>
          </cell>
          <cell r="B103">
            <v>5</v>
          </cell>
          <cell r="C103">
            <v>12</v>
          </cell>
          <cell r="D103">
            <v>6</v>
          </cell>
          <cell r="E103">
            <v>8</v>
          </cell>
        </row>
        <row r="104">
          <cell r="A104" t="str">
            <v>FLINTSHIRE</v>
          </cell>
          <cell r="B104">
            <v>29</v>
          </cell>
          <cell r="C104">
            <v>5</v>
          </cell>
          <cell r="D104">
            <v>35</v>
          </cell>
          <cell r="E104">
            <v>30</v>
          </cell>
        </row>
        <row r="105">
          <cell r="A105" t="str">
            <v>FOLKESTONE AND HYTHE</v>
          </cell>
          <cell r="B105">
            <v>15</v>
          </cell>
          <cell r="C105">
            <v>19</v>
          </cell>
          <cell r="D105">
            <v>25</v>
          </cell>
          <cell r="E105">
            <v>33</v>
          </cell>
        </row>
        <row r="106">
          <cell r="A106" t="str">
            <v>FOREST OF DEAN</v>
          </cell>
          <cell r="B106">
            <v>26</v>
          </cell>
          <cell r="C106">
            <v>11</v>
          </cell>
          <cell r="D106">
            <v>24</v>
          </cell>
          <cell r="E106">
            <v>21</v>
          </cell>
        </row>
        <row r="107">
          <cell r="A107" t="str">
            <v>FYLDE</v>
          </cell>
          <cell r="B107">
            <v>32</v>
          </cell>
          <cell r="C107">
            <v>10</v>
          </cell>
          <cell r="D107">
            <v>26</v>
          </cell>
          <cell r="E107">
            <v>17</v>
          </cell>
        </row>
        <row r="108">
          <cell r="A108" t="str">
            <v>GATESHEAD</v>
          </cell>
          <cell r="B108">
            <v>40</v>
          </cell>
          <cell r="C108">
            <v>4</v>
          </cell>
          <cell r="D108">
            <v>52</v>
          </cell>
          <cell r="E108">
            <v>19</v>
          </cell>
        </row>
        <row r="109">
          <cell r="A109" t="str">
            <v>GEDLING</v>
          </cell>
          <cell r="B109">
            <v>31</v>
          </cell>
          <cell r="C109">
            <v>28</v>
          </cell>
          <cell r="D109">
            <v>38</v>
          </cell>
          <cell r="E109">
            <v>28</v>
          </cell>
        </row>
        <row r="110">
          <cell r="A110" t="str">
            <v>GLOUCESTER</v>
          </cell>
          <cell r="B110">
            <v>30</v>
          </cell>
          <cell r="C110">
            <v>4</v>
          </cell>
          <cell r="D110">
            <v>16</v>
          </cell>
          <cell r="E110">
            <v>13</v>
          </cell>
        </row>
        <row r="111">
          <cell r="A111" t="str">
            <v>GLYNDWR</v>
          </cell>
          <cell r="B111">
            <v>24</v>
          </cell>
          <cell r="C111">
            <v>15</v>
          </cell>
          <cell r="D111">
            <v>34</v>
          </cell>
          <cell r="E111">
            <v>12</v>
          </cell>
        </row>
        <row r="112">
          <cell r="A112" t="str">
            <v>GOSPORT</v>
          </cell>
          <cell r="B112">
            <v>32</v>
          </cell>
          <cell r="C112">
            <v>30</v>
          </cell>
          <cell r="D112">
            <v>60</v>
          </cell>
          <cell r="E112">
            <v>63</v>
          </cell>
        </row>
        <row r="113">
          <cell r="A113" t="str">
            <v>Grand Total</v>
          </cell>
          <cell r="B113">
            <v>51</v>
          </cell>
          <cell r="C113">
            <v>8</v>
          </cell>
          <cell r="D113">
            <v>29</v>
          </cell>
          <cell r="E113">
            <v>20</v>
          </cell>
        </row>
        <row r="114">
          <cell r="A114" t="str">
            <v>GRAVESHAM</v>
          </cell>
          <cell r="B114">
            <v>13</v>
          </cell>
          <cell r="C114">
            <v>14</v>
          </cell>
          <cell r="D114">
            <v>32</v>
          </cell>
          <cell r="E114">
            <v>30</v>
          </cell>
        </row>
        <row r="115">
          <cell r="A115" t="str">
            <v>GREAT YARMOUTH</v>
          </cell>
          <cell r="B115">
            <v>1</v>
          </cell>
        </row>
        <row r="116">
          <cell r="A116" t="str">
            <v>GREENWICH</v>
          </cell>
          <cell r="B116">
            <v>6</v>
          </cell>
          <cell r="C116">
            <v>15</v>
          </cell>
          <cell r="D116">
            <v>12</v>
          </cell>
          <cell r="E116">
            <v>31</v>
          </cell>
        </row>
        <row r="117">
          <cell r="A117" t="str">
            <v>GUILDFORD</v>
          </cell>
          <cell r="B117">
            <v>8</v>
          </cell>
          <cell r="C117">
            <v>10</v>
          </cell>
          <cell r="D117">
            <v>19</v>
          </cell>
          <cell r="E117">
            <v>31</v>
          </cell>
        </row>
        <row r="118">
          <cell r="A118" t="str">
            <v>GWYNEDD</v>
          </cell>
          <cell r="B118">
            <v>23</v>
          </cell>
          <cell r="C118">
            <v>4</v>
          </cell>
          <cell r="D118">
            <v>22</v>
          </cell>
          <cell r="E118">
            <v>35</v>
          </cell>
        </row>
        <row r="119">
          <cell r="A119" t="str">
            <v>HACKNEY</v>
          </cell>
          <cell r="B119">
            <v>2</v>
          </cell>
          <cell r="C119">
            <v>117</v>
          </cell>
          <cell r="D119">
            <v>20</v>
          </cell>
          <cell r="E119">
            <v>57</v>
          </cell>
        </row>
        <row r="120">
          <cell r="A120" t="str">
            <v>HALTON</v>
          </cell>
          <cell r="B120">
            <v>24</v>
          </cell>
          <cell r="C120">
            <v>11</v>
          </cell>
          <cell r="D120">
            <v>27</v>
          </cell>
          <cell r="E120">
            <v>17</v>
          </cell>
        </row>
        <row r="121">
          <cell r="A121" t="str">
            <v>HAMMERSMITH AND FULHAM</v>
          </cell>
          <cell r="B121">
            <v>25</v>
          </cell>
          <cell r="C121">
            <v>6</v>
          </cell>
          <cell r="D121">
            <v>14</v>
          </cell>
          <cell r="E121">
            <v>30</v>
          </cell>
        </row>
        <row r="122">
          <cell r="A122" t="str">
            <v>HARBOROUGH</v>
          </cell>
          <cell r="B122">
            <v>1</v>
          </cell>
          <cell r="C122">
            <v>83</v>
          </cell>
          <cell r="D122">
            <v>2</v>
          </cell>
          <cell r="E122">
            <v>21</v>
          </cell>
        </row>
        <row r="123">
          <cell r="A123" t="str">
            <v>HARINGEY</v>
          </cell>
          <cell r="B123">
            <v>43</v>
          </cell>
          <cell r="C123">
            <v>20</v>
          </cell>
          <cell r="D123">
            <v>16</v>
          </cell>
          <cell r="E123">
            <v>41</v>
          </cell>
        </row>
        <row r="124">
          <cell r="A124" t="str">
            <v>HARLOW</v>
          </cell>
          <cell r="C124">
            <v>121</v>
          </cell>
          <cell r="D124">
            <v>4</v>
          </cell>
          <cell r="E124">
            <v>25</v>
          </cell>
        </row>
        <row r="125">
          <cell r="A125" t="str">
            <v>HARROW</v>
          </cell>
          <cell r="B125">
            <v>38</v>
          </cell>
          <cell r="C125">
            <v>8</v>
          </cell>
          <cell r="D125">
            <v>21</v>
          </cell>
          <cell r="E125">
            <v>19</v>
          </cell>
        </row>
        <row r="126">
          <cell r="A126" t="str">
            <v>HART</v>
          </cell>
          <cell r="B126">
            <v>2</v>
          </cell>
          <cell r="C126">
            <v>85</v>
          </cell>
          <cell r="D126">
            <v>8</v>
          </cell>
          <cell r="E126">
            <v>50</v>
          </cell>
        </row>
        <row r="127">
          <cell r="A127" t="str">
            <v>HARTLEPOOL</v>
          </cell>
          <cell r="B127">
            <v>4</v>
          </cell>
          <cell r="C127">
            <v>13</v>
          </cell>
          <cell r="D127">
            <v>13</v>
          </cell>
          <cell r="E127">
            <v>27</v>
          </cell>
        </row>
        <row r="128">
          <cell r="A128" t="str">
            <v>HASTINGS</v>
          </cell>
          <cell r="B128">
            <v>15</v>
          </cell>
          <cell r="C128">
            <v>61</v>
          </cell>
          <cell r="D128">
            <v>25</v>
          </cell>
          <cell r="E128">
            <v>27</v>
          </cell>
        </row>
        <row r="129">
          <cell r="A129" t="str">
            <v>HAVANT</v>
          </cell>
          <cell r="B129">
            <v>24</v>
          </cell>
          <cell r="C129">
            <v>11</v>
          </cell>
          <cell r="D129">
            <v>26</v>
          </cell>
          <cell r="E129">
            <v>14</v>
          </cell>
        </row>
        <row r="130">
          <cell r="A130" t="str">
            <v>HAVERING</v>
          </cell>
          <cell r="B130">
            <v>32</v>
          </cell>
          <cell r="C130">
            <v>1</v>
          </cell>
          <cell r="D130">
            <v>28</v>
          </cell>
          <cell r="E130">
            <v>40</v>
          </cell>
        </row>
        <row r="131">
          <cell r="A131" t="str">
            <v>HEREFORDSHIRE</v>
          </cell>
          <cell r="B131">
            <v>13</v>
          </cell>
          <cell r="C131">
            <v>38</v>
          </cell>
          <cell r="D131">
            <v>20</v>
          </cell>
          <cell r="E131">
            <v>24</v>
          </cell>
        </row>
        <row r="132">
          <cell r="A132" t="str">
            <v>HERTSMERE</v>
          </cell>
          <cell r="B132">
            <v>22</v>
          </cell>
          <cell r="C132">
            <v>18</v>
          </cell>
          <cell r="D132">
            <v>25</v>
          </cell>
          <cell r="E132">
            <v>16</v>
          </cell>
        </row>
        <row r="133">
          <cell r="A133" t="str">
            <v>HIGH PEAK</v>
          </cell>
          <cell r="B133">
            <v>21</v>
          </cell>
          <cell r="C133">
            <v>25</v>
          </cell>
          <cell r="D133">
            <v>64</v>
          </cell>
          <cell r="E133">
            <v>57</v>
          </cell>
        </row>
        <row r="134">
          <cell r="A134" t="str">
            <v>HILLINGDON</v>
          </cell>
          <cell r="B134">
            <v>57</v>
          </cell>
          <cell r="C134">
            <v>8</v>
          </cell>
          <cell r="D134">
            <v>49</v>
          </cell>
          <cell r="E134">
            <v>39</v>
          </cell>
        </row>
        <row r="135">
          <cell r="A135" t="str">
            <v>HINCKLEY AND BOSWORTH</v>
          </cell>
          <cell r="B135">
            <v>18</v>
          </cell>
          <cell r="C135">
            <v>14</v>
          </cell>
          <cell r="D135">
            <v>32</v>
          </cell>
          <cell r="E135">
            <v>11</v>
          </cell>
        </row>
        <row r="136">
          <cell r="A136" t="str">
            <v>HORSHAM</v>
          </cell>
          <cell r="B136">
            <v>17</v>
          </cell>
          <cell r="C136">
            <v>9</v>
          </cell>
          <cell r="D136">
            <v>26</v>
          </cell>
          <cell r="E136">
            <v>34</v>
          </cell>
        </row>
        <row r="137">
          <cell r="A137" t="str">
            <v>HOUNSLOW</v>
          </cell>
          <cell r="B137">
            <v>26</v>
          </cell>
          <cell r="C137">
            <v>55</v>
          </cell>
          <cell r="D137">
            <v>52</v>
          </cell>
          <cell r="E137">
            <v>36</v>
          </cell>
        </row>
        <row r="138">
          <cell r="A138" t="str">
            <v>HUNTINGDONSHIRE</v>
          </cell>
          <cell r="B138">
            <v>44</v>
          </cell>
          <cell r="C138">
            <v>8</v>
          </cell>
          <cell r="D138">
            <v>33</v>
          </cell>
          <cell r="E138">
            <v>13</v>
          </cell>
        </row>
        <row r="139">
          <cell r="A139" t="str">
            <v>HYNDBURN</v>
          </cell>
          <cell r="B139">
            <v>55</v>
          </cell>
          <cell r="C139">
            <v>17</v>
          </cell>
          <cell r="D139">
            <v>27</v>
          </cell>
          <cell r="E139">
            <v>21</v>
          </cell>
        </row>
        <row r="140">
          <cell r="A140" t="str">
            <v>IPSWICH</v>
          </cell>
          <cell r="B140">
            <v>3</v>
          </cell>
          <cell r="C140">
            <v>74</v>
          </cell>
          <cell r="D140">
            <v>34</v>
          </cell>
          <cell r="E140">
            <v>39</v>
          </cell>
        </row>
        <row r="141">
          <cell r="A141" t="str">
            <v>ISLE OF ANGLESEY</v>
          </cell>
          <cell r="B141">
            <v>70</v>
          </cell>
          <cell r="C141">
            <v>17</v>
          </cell>
          <cell r="D141">
            <v>62</v>
          </cell>
          <cell r="E141">
            <v>32</v>
          </cell>
        </row>
        <row r="142">
          <cell r="A142" t="str">
            <v>ISLE OF WIGHT</v>
          </cell>
          <cell r="B142">
            <v>10</v>
          </cell>
          <cell r="D142">
            <v>14</v>
          </cell>
          <cell r="E142">
            <v>46</v>
          </cell>
        </row>
        <row r="143">
          <cell r="A143" t="str">
            <v>ISLES OF SCILLY</v>
          </cell>
          <cell r="B143">
            <v>11</v>
          </cell>
          <cell r="C143">
            <v>16</v>
          </cell>
          <cell r="D143">
            <v>31</v>
          </cell>
          <cell r="E143">
            <v>26</v>
          </cell>
        </row>
        <row r="144">
          <cell r="A144" t="str">
            <v>ISLINGTON</v>
          </cell>
          <cell r="B144">
            <v>27</v>
          </cell>
          <cell r="C144">
            <v>2</v>
          </cell>
          <cell r="D144">
            <v>12</v>
          </cell>
          <cell r="E144">
            <v>18</v>
          </cell>
        </row>
        <row r="145">
          <cell r="A145" t="str">
            <v>KENSINGTON AND CHELSEA</v>
          </cell>
          <cell r="B145">
            <v>42</v>
          </cell>
          <cell r="C145">
            <v>26</v>
          </cell>
          <cell r="D145">
            <v>29</v>
          </cell>
          <cell r="E145">
            <v>25</v>
          </cell>
        </row>
        <row r="146">
          <cell r="A146" t="str">
            <v>KING'S LYNN AND WEST NORFOLK</v>
          </cell>
          <cell r="E146">
            <v>2</v>
          </cell>
        </row>
        <row r="147">
          <cell r="A147" t="str">
            <v>KINGSTON UPON THAMES</v>
          </cell>
          <cell r="C147">
            <v>105</v>
          </cell>
          <cell r="D147">
            <v>1</v>
          </cell>
          <cell r="E147">
            <v>8</v>
          </cell>
        </row>
        <row r="148">
          <cell r="A148" t="str">
            <v>KIRKLEES</v>
          </cell>
          <cell r="B148">
            <v>1</v>
          </cell>
          <cell r="C148">
            <v>97</v>
          </cell>
          <cell r="D148">
            <v>3</v>
          </cell>
          <cell r="E148">
            <v>18</v>
          </cell>
        </row>
        <row r="149">
          <cell r="A149" t="str">
            <v>KNOWSLEY</v>
          </cell>
          <cell r="B149">
            <v>69</v>
          </cell>
          <cell r="C149">
            <v>2</v>
          </cell>
          <cell r="D149">
            <v>47</v>
          </cell>
          <cell r="E149">
            <v>36</v>
          </cell>
        </row>
        <row r="150">
          <cell r="A150" t="str">
            <v>LAMBETH</v>
          </cell>
          <cell r="B150">
            <v>11</v>
          </cell>
          <cell r="C150">
            <v>49</v>
          </cell>
          <cell r="D150">
            <v>19</v>
          </cell>
          <cell r="E150">
            <v>22</v>
          </cell>
        </row>
        <row r="151">
          <cell r="A151" t="str">
            <v>LANCASTER</v>
          </cell>
          <cell r="B151">
            <v>91</v>
          </cell>
          <cell r="C151">
            <v>8</v>
          </cell>
          <cell r="D151">
            <v>128</v>
          </cell>
          <cell r="E151">
            <v>118</v>
          </cell>
        </row>
        <row r="152">
          <cell r="A152" t="str">
            <v>LEEDS</v>
          </cell>
          <cell r="B152">
            <v>16</v>
          </cell>
          <cell r="C152">
            <v>3</v>
          </cell>
          <cell r="D152">
            <v>48</v>
          </cell>
          <cell r="E152">
            <v>19</v>
          </cell>
        </row>
        <row r="153">
          <cell r="A153" t="str">
            <v>LEICESTER</v>
          </cell>
          <cell r="C153">
            <v>192</v>
          </cell>
          <cell r="D153">
            <v>12</v>
          </cell>
          <cell r="E153">
            <v>27</v>
          </cell>
        </row>
        <row r="154">
          <cell r="A154" t="str">
            <v>LEWES</v>
          </cell>
          <cell r="B154">
            <v>22</v>
          </cell>
          <cell r="C154">
            <v>17</v>
          </cell>
          <cell r="D154">
            <v>46</v>
          </cell>
          <cell r="E154">
            <v>34</v>
          </cell>
        </row>
        <row r="155">
          <cell r="A155" t="str">
            <v>LEWISHAM</v>
          </cell>
          <cell r="B155">
            <v>126</v>
          </cell>
          <cell r="C155">
            <v>98</v>
          </cell>
          <cell r="D155">
            <v>211</v>
          </cell>
          <cell r="E155">
            <v>190</v>
          </cell>
        </row>
        <row r="156">
          <cell r="A156" t="str">
            <v>LICHFIELD</v>
          </cell>
          <cell r="B156">
            <v>17</v>
          </cell>
          <cell r="C156">
            <v>16</v>
          </cell>
          <cell r="D156">
            <v>53</v>
          </cell>
          <cell r="E156">
            <v>71</v>
          </cell>
        </row>
        <row r="157">
          <cell r="A157" t="str">
            <v>LINCOLN</v>
          </cell>
          <cell r="B157">
            <v>40</v>
          </cell>
          <cell r="C157">
            <v>22</v>
          </cell>
          <cell r="D157">
            <v>33</v>
          </cell>
          <cell r="E157">
            <v>22</v>
          </cell>
        </row>
        <row r="158">
          <cell r="A158" t="str">
            <v>LIVERPOOL</v>
          </cell>
          <cell r="B158">
            <v>2</v>
          </cell>
          <cell r="C158">
            <v>95</v>
          </cell>
          <cell r="D158">
            <v>11</v>
          </cell>
          <cell r="E158">
            <v>57</v>
          </cell>
        </row>
        <row r="159">
          <cell r="A159" t="str">
            <v>LUTON</v>
          </cell>
          <cell r="B159">
            <v>36</v>
          </cell>
          <cell r="C159">
            <v>19</v>
          </cell>
          <cell r="D159">
            <v>33</v>
          </cell>
          <cell r="E159">
            <v>17</v>
          </cell>
        </row>
        <row r="160">
          <cell r="A160" t="str">
            <v>MAIDSTONE</v>
          </cell>
          <cell r="B160">
            <v>12</v>
          </cell>
          <cell r="C160">
            <v>13</v>
          </cell>
          <cell r="D160">
            <v>22</v>
          </cell>
          <cell r="E160">
            <v>25</v>
          </cell>
        </row>
        <row r="161">
          <cell r="A161" t="str">
            <v>MALDON</v>
          </cell>
          <cell r="B161">
            <v>20</v>
          </cell>
          <cell r="C161">
            <v>72</v>
          </cell>
          <cell r="D161">
            <v>76</v>
          </cell>
          <cell r="E161">
            <v>122</v>
          </cell>
        </row>
        <row r="162">
          <cell r="A162" t="str">
            <v>MALVERN HILLS</v>
          </cell>
          <cell r="B162">
            <v>16</v>
          </cell>
          <cell r="C162">
            <v>18</v>
          </cell>
          <cell r="D162">
            <v>35</v>
          </cell>
          <cell r="E162">
            <v>23</v>
          </cell>
        </row>
        <row r="163">
          <cell r="A163" t="str">
            <v>MANCHESTER</v>
          </cell>
          <cell r="B163">
            <v>44</v>
          </cell>
          <cell r="C163">
            <v>26</v>
          </cell>
          <cell r="D163">
            <v>54</v>
          </cell>
          <cell r="E163">
            <v>35</v>
          </cell>
        </row>
        <row r="164">
          <cell r="A164" t="str">
            <v>MANSFIELD</v>
          </cell>
          <cell r="B164">
            <v>28</v>
          </cell>
          <cell r="C164">
            <v>3</v>
          </cell>
          <cell r="D164">
            <v>18</v>
          </cell>
          <cell r="E164">
            <v>2</v>
          </cell>
        </row>
        <row r="165">
          <cell r="A165" t="str">
            <v>MEDWAY</v>
          </cell>
          <cell r="B165">
            <v>27</v>
          </cell>
          <cell r="C165">
            <v>3</v>
          </cell>
          <cell r="D165">
            <v>22</v>
          </cell>
          <cell r="E165">
            <v>13</v>
          </cell>
        </row>
        <row r="166">
          <cell r="A166" t="str">
            <v>MELTON</v>
          </cell>
          <cell r="B166">
            <v>17</v>
          </cell>
          <cell r="C166">
            <v>136</v>
          </cell>
          <cell r="D166">
            <v>79</v>
          </cell>
          <cell r="E166">
            <v>102</v>
          </cell>
        </row>
        <row r="167">
          <cell r="A167" t="str">
            <v>MERTHYR TYDFIL</v>
          </cell>
          <cell r="B167">
            <v>39</v>
          </cell>
          <cell r="C167">
            <v>4</v>
          </cell>
          <cell r="D167">
            <v>36</v>
          </cell>
          <cell r="E167">
            <v>20</v>
          </cell>
        </row>
        <row r="168">
          <cell r="A168" t="str">
            <v>MERTON</v>
          </cell>
          <cell r="B168">
            <v>28</v>
          </cell>
          <cell r="C168">
            <v>34</v>
          </cell>
          <cell r="D168">
            <v>61</v>
          </cell>
          <cell r="E168">
            <v>104</v>
          </cell>
        </row>
        <row r="169">
          <cell r="A169" t="str">
            <v>MID DEVON</v>
          </cell>
          <cell r="B169">
            <v>33</v>
          </cell>
          <cell r="C169">
            <v>3</v>
          </cell>
          <cell r="D169">
            <v>13</v>
          </cell>
          <cell r="E169">
            <v>7</v>
          </cell>
        </row>
        <row r="170">
          <cell r="A170" t="str">
            <v>MID SUFFOLK</v>
          </cell>
          <cell r="B170">
            <v>8</v>
          </cell>
          <cell r="C170">
            <v>2</v>
          </cell>
          <cell r="D170">
            <v>7</v>
          </cell>
          <cell r="E170">
            <v>18</v>
          </cell>
        </row>
        <row r="171">
          <cell r="A171" t="str">
            <v>MID SUSSEX</v>
          </cell>
          <cell r="B171">
            <v>5</v>
          </cell>
          <cell r="C171">
            <v>53</v>
          </cell>
          <cell r="D171">
            <v>16</v>
          </cell>
          <cell r="E171">
            <v>36</v>
          </cell>
        </row>
        <row r="172">
          <cell r="A172" t="str">
            <v>MIDDLESBROUGH</v>
          </cell>
          <cell r="B172">
            <v>27</v>
          </cell>
          <cell r="C172">
            <v>5</v>
          </cell>
          <cell r="D172">
            <v>22</v>
          </cell>
          <cell r="E172">
            <v>14</v>
          </cell>
        </row>
        <row r="173">
          <cell r="A173" t="str">
            <v>MILTON KEYNES</v>
          </cell>
          <cell r="B173">
            <v>49</v>
          </cell>
          <cell r="D173">
            <v>27</v>
          </cell>
          <cell r="E173">
            <v>23</v>
          </cell>
        </row>
        <row r="174">
          <cell r="A174" t="str">
            <v>MOLE VALLEY</v>
          </cell>
          <cell r="B174">
            <v>44</v>
          </cell>
          <cell r="C174">
            <v>25</v>
          </cell>
          <cell r="D174">
            <v>53</v>
          </cell>
          <cell r="E174">
            <v>16</v>
          </cell>
        </row>
        <row r="175">
          <cell r="A175" t="str">
            <v>MONMOUTHSHIRE</v>
          </cell>
          <cell r="B175">
            <v>13</v>
          </cell>
          <cell r="C175">
            <v>6</v>
          </cell>
          <cell r="D175">
            <v>45</v>
          </cell>
          <cell r="E175">
            <v>44</v>
          </cell>
        </row>
        <row r="176">
          <cell r="A176" t="str">
            <v>NEATH PORT TALBOT</v>
          </cell>
          <cell r="B176">
            <v>72</v>
          </cell>
          <cell r="C176">
            <v>71</v>
          </cell>
          <cell r="D176">
            <v>71</v>
          </cell>
          <cell r="E176">
            <v>71</v>
          </cell>
        </row>
        <row r="177">
          <cell r="A177" t="str">
            <v>NEW FOREST</v>
          </cell>
          <cell r="B177">
            <v>20</v>
          </cell>
          <cell r="C177">
            <v>7</v>
          </cell>
          <cell r="D177">
            <v>13</v>
          </cell>
          <cell r="E177">
            <v>14</v>
          </cell>
        </row>
        <row r="178">
          <cell r="A178" t="str">
            <v>NEWARK AND SHERWOOD</v>
          </cell>
          <cell r="B178">
            <v>43</v>
          </cell>
          <cell r="C178">
            <v>13</v>
          </cell>
          <cell r="D178">
            <v>17</v>
          </cell>
          <cell r="E178">
            <v>14</v>
          </cell>
        </row>
        <row r="179">
          <cell r="A179" t="str">
            <v>NEWCASTLE UPON TYNE</v>
          </cell>
          <cell r="B179">
            <v>19</v>
          </cell>
          <cell r="C179">
            <v>2</v>
          </cell>
          <cell r="D179">
            <v>54</v>
          </cell>
          <cell r="E179">
            <v>44</v>
          </cell>
        </row>
        <row r="180">
          <cell r="A180" t="str">
            <v>NEWCASTLE-UNDER-LYME</v>
          </cell>
          <cell r="B180">
            <v>59</v>
          </cell>
          <cell r="C180">
            <v>26</v>
          </cell>
          <cell r="D180">
            <v>29</v>
          </cell>
          <cell r="E180">
            <v>37</v>
          </cell>
        </row>
        <row r="181">
          <cell r="A181" t="str">
            <v>NEWHAM</v>
          </cell>
          <cell r="B181">
            <v>49</v>
          </cell>
          <cell r="C181">
            <v>3</v>
          </cell>
          <cell r="D181">
            <v>30</v>
          </cell>
          <cell r="E181">
            <v>20</v>
          </cell>
        </row>
        <row r="182">
          <cell r="A182" t="str">
            <v>NEWPORT</v>
          </cell>
          <cell r="B182">
            <v>66</v>
          </cell>
          <cell r="C182">
            <v>63</v>
          </cell>
          <cell r="D182">
            <v>78</v>
          </cell>
          <cell r="E182">
            <v>74</v>
          </cell>
        </row>
        <row r="183">
          <cell r="A183" t="str">
            <v>NORTH DEVON</v>
          </cell>
          <cell r="B183">
            <v>34</v>
          </cell>
          <cell r="C183">
            <v>4</v>
          </cell>
          <cell r="D183">
            <v>47</v>
          </cell>
          <cell r="E183">
            <v>28</v>
          </cell>
        </row>
        <row r="184">
          <cell r="A184" t="str">
            <v>NORTH EAST DERBYSHIRE</v>
          </cell>
          <cell r="B184">
            <v>1</v>
          </cell>
          <cell r="C184">
            <v>186</v>
          </cell>
          <cell r="D184">
            <v>6</v>
          </cell>
          <cell r="E184">
            <v>42</v>
          </cell>
        </row>
        <row r="185">
          <cell r="A185" t="str">
            <v>NORTH EAST LINCOLNSHIRE</v>
          </cell>
          <cell r="B185">
            <v>28</v>
          </cell>
          <cell r="C185">
            <v>15</v>
          </cell>
          <cell r="D185">
            <v>27</v>
          </cell>
          <cell r="E185">
            <v>44</v>
          </cell>
        </row>
        <row r="186">
          <cell r="A186" t="str">
            <v>NORTH HERTFORDSHIRE</v>
          </cell>
          <cell r="B186">
            <v>51</v>
          </cell>
          <cell r="C186">
            <v>11</v>
          </cell>
          <cell r="D186">
            <v>12</v>
          </cell>
          <cell r="E186">
            <v>24</v>
          </cell>
        </row>
        <row r="187">
          <cell r="A187" t="str">
            <v>NORTH KESTEVEN</v>
          </cell>
          <cell r="B187">
            <v>29</v>
          </cell>
          <cell r="D187">
            <v>39</v>
          </cell>
          <cell r="E187">
            <v>11</v>
          </cell>
        </row>
        <row r="188">
          <cell r="A188" t="str">
            <v>NORTH LINCOLNSHIRE</v>
          </cell>
          <cell r="B188">
            <v>29</v>
          </cell>
          <cell r="C188">
            <v>6</v>
          </cell>
          <cell r="D188">
            <v>50</v>
          </cell>
          <cell r="E188">
            <v>53</v>
          </cell>
        </row>
        <row r="189">
          <cell r="A189" t="str">
            <v>NORTH NORFOLK</v>
          </cell>
          <cell r="B189">
            <v>23</v>
          </cell>
          <cell r="C189">
            <v>22</v>
          </cell>
          <cell r="D189">
            <v>32</v>
          </cell>
          <cell r="E189">
            <v>35</v>
          </cell>
        </row>
        <row r="190">
          <cell r="A190" t="str">
            <v>NORTH NORTHAMPTONSHIRE</v>
          </cell>
          <cell r="B190">
            <v>43</v>
          </cell>
          <cell r="C190">
            <v>3</v>
          </cell>
          <cell r="D190">
            <v>33</v>
          </cell>
          <cell r="E190">
            <v>12</v>
          </cell>
        </row>
        <row r="191">
          <cell r="A191" t="str">
            <v>NORTH SOMERSET</v>
          </cell>
          <cell r="B191">
            <v>54</v>
          </cell>
          <cell r="C191">
            <v>4</v>
          </cell>
          <cell r="D191">
            <v>45</v>
          </cell>
          <cell r="E191">
            <v>19</v>
          </cell>
        </row>
        <row r="192">
          <cell r="A192" t="str">
            <v>NORTH TYNESIDE</v>
          </cell>
          <cell r="B192">
            <v>55</v>
          </cell>
          <cell r="C192">
            <v>13</v>
          </cell>
          <cell r="D192">
            <v>25</v>
          </cell>
          <cell r="E192">
            <v>22</v>
          </cell>
        </row>
        <row r="193">
          <cell r="A193" t="str">
            <v>NORTH WARWICKSHIRE</v>
          </cell>
          <cell r="B193">
            <v>101</v>
          </cell>
          <cell r="C193">
            <v>20</v>
          </cell>
          <cell r="D193">
            <v>115</v>
          </cell>
          <cell r="E193">
            <v>53</v>
          </cell>
        </row>
        <row r="194">
          <cell r="A194" t="str">
            <v>NORTH WEST LEICESTERSHIRE</v>
          </cell>
          <cell r="B194">
            <v>73</v>
          </cell>
          <cell r="C194">
            <v>50</v>
          </cell>
          <cell r="D194">
            <v>61</v>
          </cell>
          <cell r="E194">
            <v>47</v>
          </cell>
        </row>
        <row r="195">
          <cell r="A195" t="str">
            <v>NORTH YORKSHIRE</v>
          </cell>
          <cell r="B195">
            <v>22</v>
          </cell>
          <cell r="C195">
            <v>46</v>
          </cell>
          <cell r="D195">
            <v>35</v>
          </cell>
          <cell r="E195">
            <v>37</v>
          </cell>
        </row>
        <row r="196">
          <cell r="A196" t="str">
            <v>NORTHUMBERLAND</v>
          </cell>
          <cell r="B196">
            <v>13</v>
          </cell>
          <cell r="C196">
            <v>1</v>
          </cell>
          <cell r="D196">
            <v>20</v>
          </cell>
          <cell r="E196">
            <v>13</v>
          </cell>
        </row>
        <row r="197">
          <cell r="A197" t="str">
            <v>NORWICH</v>
          </cell>
          <cell r="B197">
            <v>45</v>
          </cell>
          <cell r="C197">
            <v>2</v>
          </cell>
          <cell r="D197">
            <v>49</v>
          </cell>
          <cell r="E197">
            <v>21</v>
          </cell>
        </row>
        <row r="198">
          <cell r="A198" t="str">
            <v>NUNEATON AND BEDWORTH</v>
          </cell>
          <cell r="B198">
            <v>209</v>
          </cell>
          <cell r="C198">
            <v>62</v>
          </cell>
          <cell r="D198">
            <v>198</v>
          </cell>
          <cell r="E198">
            <v>161</v>
          </cell>
        </row>
        <row r="199">
          <cell r="A199" t="str">
            <v>OADBY AND WIGSTON</v>
          </cell>
          <cell r="B199">
            <v>130</v>
          </cell>
          <cell r="C199">
            <v>27</v>
          </cell>
          <cell r="D199">
            <v>97</v>
          </cell>
          <cell r="E199">
            <v>98</v>
          </cell>
        </row>
        <row r="200">
          <cell r="A200" t="str">
            <v>OLDHAM</v>
          </cell>
          <cell r="B200">
            <v>16</v>
          </cell>
          <cell r="C200">
            <v>30</v>
          </cell>
          <cell r="D200">
            <v>22</v>
          </cell>
          <cell r="E200">
            <v>50</v>
          </cell>
        </row>
        <row r="201">
          <cell r="A201" t="str">
            <v>OXFORD</v>
          </cell>
          <cell r="B201">
            <v>29</v>
          </cell>
          <cell r="C201">
            <v>5</v>
          </cell>
          <cell r="D201">
            <v>33</v>
          </cell>
          <cell r="E201">
            <v>23</v>
          </cell>
        </row>
        <row r="202">
          <cell r="A202" t="str">
            <v>PEMBROKESHIRE</v>
          </cell>
          <cell r="B202">
            <v>25</v>
          </cell>
          <cell r="C202">
            <v>2</v>
          </cell>
          <cell r="D202">
            <v>20</v>
          </cell>
          <cell r="E202">
            <v>3</v>
          </cell>
        </row>
        <row r="203">
          <cell r="A203" t="str">
            <v>PENDLE</v>
          </cell>
          <cell r="B203">
            <v>20</v>
          </cell>
          <cell r="C203">
            <v>23</v>
          </cell>
          <cell r="D203">
            <v>35</v>
          </cell>
          <cell r="E203">
            <v>58</v>
          </cell>
        </row>
        <row r="204">
          <cell r="A204" t="str">
            <v>PETERBOROUGH</v>
          </cell>
          <cell r="B204">
            <v>3</v>
          </cell>
          <cell r="C204">
            <v>18</v>
          </cell>
          <cell r="D204">
            <v>19</v>
          </cell>
          <cell r="E204">
            <v>26</v>
          </cell>
        </row>
        <row r="205">
          <cell r="A205" t="str">
            <v>PLYMOUTH</v>
          </cell>
          <cell r="B205">
            <v>44</v>
          </cell>
          <cell r="C205">
            <v>6</v>
          </cell>
          <cell r="D205">
            <v>21</v>
          </cell>
          <cell r="E205">
            <v>24</v>
          </cell>
        </row>
        <row r="206">
          <cell r="A206" t="str">
            <v>PORTSMOUTH</v>
          </cell>
          <cell r="B206">
            <v>17</v>
          </cell>
          <cell r="C206">
            <v>3</v>
          </cell>
          <cell r="D206">
            <v>11</v>
          </cell>
          <cell r="E206">
            <v>49</v>
          </cell>
        </row>
        <row r="207">
          <cell r="A207" t="str">
            <v>POWYS</v>
          </cell>
          <cell r="B207">
            <v>9</v>
          </cell>
          <cell r="C207">
            <v>46</v>
          </cell>
          <cell r="D207">
            <v>14</v>
          </cell>
          <cell r="E207">
            <v>89</v>
          </cell>
        </row>
        <row r="208">
          <cell r="A208" t="str">
            <v>PRESTON</v>
          </cell>
          <cell r="B208">
            <v>43</v>
          </cell>
          <cell r="C208">
            <v>3</v>
          </cell>
          <cell r="D208">
            <v>18</v>
          </cell>
          <cell r="E208">
            <v>26</v>
          </cell>
        </row>
        <row r="209">
          <cell r="A209" t="str">
            <v>READING</v>
          </cell>
          <cell r="B209">
            <v>50</v>
          </cell>
          <cell r="C209">
            <v>24</v>
          </cell>
          <cell r="D209">
            <v>55</v>
          </cell>
          <cell r="E209">
            <v>39</v>
          </cell>
        </row>
        <row r="210">
          <cell r="A210" t="str">
            <v>REDBRIDGE</v>
          </cell>
          <cell r="B210">
            <v>8</v>
          </cell>
          <cell r="C210">
            <v>50</v>
          </cell>
          <cell r="D210">
            <v>23</v>
          </cell>
          <cell r="E210">
            <v>46</v>
          </cell>
        </row>
        <row r="211">
          <cell r="A211" t="str">
            <v>REDCAR AND CLEVELAND</v>
          </cell>
          <cell r="B211">
            <v>4</v>
          </cell>
          <cell r="C211">
            <v>47</v>
          </cell>
          <cell r="D211">
            <v>18</v>
          </cell>
          <cell r="E211">
            <v>64</v>
          </cell>
        </row>
        <row r="212">
          <cell r="A212" t="str">
            <v>REDDITCH</v>
          </cell>
          <cell r="B212">
            <v>24</v>
          </cell>
          <cell r="C212">
            <v>4</v>
          </cell>
          <cell r="D212">
            <v>54</v>
          </cell>
          <cell r="E212">
            <v>32</v>
          </cell>
        </row>
        <row r="213">
          <cell r="A213" t="str">
            <v>REIGATE AND BANSTEAD</v>
          </cell>
          <cell r="B213">
            <v>16</v>
          </cell>
          <cell r="C213">
            <v>5</v>
          </cell>
          <cell r="D213">
            <v>13</v>
          </cell>
          <cell r="E213">
            <v>14</v>
          </cell>
        </row>
        <row r="214">
          <cell r="A214" t="str">
            <v>RHONDDA CYNON TAFF</v>
          </cell>
          <cell r="B214">
            <v>33</v>
          </cell>
          <cell r="C214">
            <v>35</v>
          </cell>
          <cell r="D214">
            <v>29</v>
          </cell>
          <cell r="E214">
            <v>23</v>
          </cell>
        </row>
        <row r="215">
          <cell r="A215" t="str">
            <v>RIBBLE VALLEY</v>
          </cell>
          <cell r="B215">
            <v>19</v>
          </cell>
          <cell r="C215">
            <v>5</v>
          </cell>
          <cell r="D215">
            <v>32</v>
          </cell>
          <cell r="E215">
            <v>99</v>
          </cell>
        </row>
        <row r="216">
          <cell r="A216" t="str">
            <v>RICHMOND UPON THAMES</v>
          </cell>
          <cell r="B216">
            <v>17</v>
          </cell>
          <cell r="D216">
            <v>24</v>
          </cell>
          <cell r="E216">
            <v>25</v>
          </cell>
        </row>
        <row r="217">
          <cell r="A217" t="str">
            <v>ROCHDALE</v>
          </cell>
          <cell r="B217">
            <v>9</v>
          </cell>
          <cell r="C217">
            <v>52</v>
          </cell>
          <cell r="D217">
            <v>17</v>
          </cell>
          <cell r="E217">
            <v>39</v>
          </cell>
        </row>
        <row r="218">
          <cell r="A218" t="str">
            <v>ROCHFORD</v>
          </cell>
          <cell r="B218">
            <v>30</v>
          </cell>
          <cell r="C218">
            <v>8</v>
          </cell>
          <cell r="D218">
            <v>57</v>
          </cell>
          <cell r="E218">
            <v>78</v>
          </cell>
        </row>
        <row r="219">
          <cell r="A219" t="str">
            <v>ROSSENDALE</v>
          </cell>
          <cell r="B219">
            <v>29</v>
          </cell>
          <cell r="C219">
            <v>7</v>
          </cell>
          <cell r="D219">
            <v>31</v>
          </cell>
          <cell r="E219">
            <v>9</v>
          </cell>
        </row>
        <row r="220">
          <cell r="A220" t="str">
            <v>ROTHER</v>
          </cell>
          <cell r="B220">
            <v>10</v>
          </cell>
          <cell r="C220">
            <v>7</v>
          </cell>
          <cell r="D220">
            <v>13</v>
          </cell>
          <cell r="E220">
            <v>32</v>
          </cell>
        </row>
        <row r="221">
          <cell r="A221" t="str">
            <v>ROTHERHAM</v>
          </cell>
          <cell r="B221">
            <v>37</v>
          </cell>
          <cell r="C221">
            <v>31</v>
          </cell>
          <cell r="D221">
            <v>12</v>
          </cell>
          <cell r="E221">
            <v>13</v>
          </cell>
        </row>
        <row r="222">
          <cell r="A222" t="str">
            <v>Row Labels</v>
          </cell>
          <cell r="B222">
            <v>37</v>
          </cell>
          <cell r="C222">
            <v>8</v>
          </cell>
          <cell r="D222">
            <v>82</v>
          </cell>
          <cell r="E222">
            <v>36</v>
          </cell>
        </row>
        <row r="223">
          <cell r="A223" t="str">
            <v>RUGBY</v>
          </cell>
          <cell r="B223">
            <v>29</v>
          </cell>
          <cell r="C223">
            <v>9</v>
          </cell>
          <cell r="D223">
            <v>19</v>
          </cell>
          <cell r="E223">
            <v>19</v>
          </cell>
        </row>
        <row r="224">
          <cell r="A224" t="str">
            <v>RUNNYMEDE</v>
          </cell>
          <cell r="B224">
            <v>15</v>
          </cell>
          <cell r="C224">
            <v>53</v>
          </cell>
          <cell r="D224">
            <v>15</v>
          </cell>
          <cell r="E224">
            <v>12</v>
          </cell>
        </row>
        <row r="225">
          <cell r="A225" t="str">
            <v>RUSHCLIFFE</v>
          </cell>
          <cell r="B225">
            <v>62</v>
          </cell>
          <cell r="C225">
            <v>7</v>
          </cell>
          <cell r="D225">
            <v>27</v>
          </cell>
          <cell r="E225">
            <v>12</v>
          </cell>
        </row>
        <row r="226">
          <cell r="A226" t="str">
            <v>RUSHMOOR</v>
          </cell>
          <cell r="B226">
            <v>9</v>
          </cell>
          <cell r="C226">
            <v>65</v>
          </cell>
          <cell r="D226">
            <v>23</v>
          </cell>
          <cell r="E226">
            <v>22</v>
          </cell>
        </row>
        <row r="227">
          <cell r="A227" t="str">
            <v>RUTLAND</v>
          </cell>
          <cell r="B227">
            <v>20</v>
          </cell>
          <cell r="C227">
            <v>4</v>
          </cell>
          <cell r="D227">
            <v>9</v>
          </cell>
          <cell r="E227">
            <v>10</v>
          </cell>
        </row>
        <row r="228">
          <cell r="A228" t="str">
            <v>SALFORD</v>
          </cell>
          <cell r="B228">
            <v>17</v>
          </cell>
          <cell r="C228">
            <v>79</v>
          </cell>
          <cell r="D228">
            <v>62</v>
          </cell>
          <cell r="E228">
            <v>55</v>
          </cell>
        </row>
        <row r="229">
          <cell r="A229" t="str">
            <v>SANDWELL</v>
          </cell>
          <cell r="B229">
            <v>13</v>
          </cell>
          <cell r="C229">
            <v>15</v>
          </cell>
          <cell r="D229">
            <v>59</v>
          </cell>
          <cell r="E229">
            <v>45</v>
          </cell>
        </row>
        <row r="230">
          <cell r="A230" t="str">
            <v>SEFTON</v>
          </cell>
          <cell r="B230">
            <v>63</v>
          </cell>
          <cell r="C230">
            <v>44</v>
          </cell>
          <cell r="D230">
            <v>93</v>
          </cell>
          <cell r="E230">
            <v>33</v>
          </cell>
        </row>
        <row r="231">
          <cell r="A231" t="str">
            <v>SEVENOAKS</v>
          </cell>
          <cell r="B231">
            <v>32</v>
          </cell>
          <cell r="C231">
            <v>19</v>
          </cell>
          <cell r="D231">
            <v>30</v>
          </cell>
          <cell r="E231">
            <v>25</v>
          </cell>
        </row>
        <row r="232">
          <cell r="A232" t="str">
            <v>SHEFFIELD</v>
          </cell>
          <cell r="B232">
            <v>60</v>
          </cell>
          <cell r="C232">
            <v>72</v>
          </cell>
          <cell r="D232">
            <v>143</v>
          </cell>
          <cell r="E232">
            <v>135</v>
          </cell>
        </row>
        <row r="233">
          <cell r="A233" t="str">
            <v>SHROPSHIRE</v>
          </cell>
          <cell r="B233">
            <v>129</v>
          </cell>
          <cell r="C233">
            <v>19</v>
          </cell>
          <cell r="D233">
            <v>80</v>
          </cell>
          <cell r="E233">
            <v>53</v>
          </cell>
        </row>
        <row r="234">
          <cell r="A234" t="str">
            <v>SLOUGH</v>
          </cell>
          <cell r="B234">
            <v>5</v>
          </cell>
          <cell r="C234">
            <v>25</v>
          </cell>
          <cell r="D234">
            <v>16</v>
          </cell>
          <cell r="E234">
            <v>17</v>
          </cell>
        </row>
        <row r="235">
          <cell r="A235" t="str">
            <v>SOLIHULL</v>
          </cell>
          <cell r="B235">
            <v>37</v>
          </cell>
          <cell r="C235">
            <v>27</v>
          </cell>
          <cell r="D235">
            <v>57</v>
          </cell>
          <cell r="E235">
            <v>35</v>
          </cell>
        </row>
        <row r="236">
          <cell r="A236" t="str">
            <v>SOMERSET</v>
          </cell>
          <cell r="B236">
            <v>176</v>
          </cell>
          <cell r="C236">
            <v>46</v>
          </cell>
          <cell r="D236">
            <v>152</v>
          </cell>
          <cell r="E236">
            <v>147</v>
          </cell>
        </row>
        <row r="237">
          <cell r="A237" t="str">
            <v>SOUTH CAMBRIDGESHIRE</v>
          </cell>
          <cell r="B237">
            <v>67</v>
          </cell>
          <cell r="C237">
            <v>17</v>
          </cell>
          <cell r="D237">
            <v>33</v>
          </cell>
          <cell r="E237">
            <v>19</v>
          </cell>
        </row>
        <row r="238">
          <cell r="A238" t="str">
            <v>SOUTH DERBYSHIRE</v>
          </cell>
          <cell r="B238">
            <v>46</v>
          </cell>
          <cell r="C238">
            <v>6</v>
          </cell>
          <cell r="D238">
            <v>37</v>
          </cell>
          <cell r="E238">
            <v>23</v>
          </cell>
        </row>
        <row r="239">
          <cell r="A239" t="str">
            <v>SOUTH GLOUCESTERSHIRE</v>
          </cell>
          <cell r="B239">
            <v>52</v>
          </cell>
          <cell r="C239">
            <v>29</v>
          </cell>
          <cell r="D239">
            <v>61</v>
          </cell>
          <cell r="E239">
            <v>68</v>
          </cell>
        </row>
        <row r="240">
          <cell r="A240" t="str">
            <v>SOUTH HAMS</v>
          </cell>
          <cell r="B240">
            <v>63</v>
          </cell>
          <cell r="C240">
            <v>12</v>
          </cell>
          <cell r="D240">
            <v>15</v>
          </cell>
          <cell r="E240">
            <v>30</v>
          </cell>
        </row>
        <row r="241">
          <cell r="A241" t="str">
            <v>SOUTH HOLLAND</v>
          </cell>
          <cell r="B241">
            <v>46</v>
          </cell>
          <cell r="C241">
            <v>2</v>
          </cell>
          <cell r="D241">
            <v>17</v>
          </cell>
          <cell r="E241">
            <v>12</v>
          </cell>
        </row>
        <row r="242">
          <cell r="A242" t="str">
            <v>SOUTH KESTEVEN</v>
          </cell>
          <cell r="B242">
            <v>77</v>
          </cell>
          <cell r="C242">
            <v>9</v>
          </cell>
          <cell r="D242">
            <v>33</v>
          </cell>
          <cell r="E242">
            <v>28</v>
          </cell>
        </row>
        <row r="243">
          <cell r="A243" t="str">
            <v>SOUTH NORFOLK</v>
          </cell>
          <cell r="B243">
            <v>61</v>
          </cell>
          <cell r="C243">
            <v>4</v>
          </cell>
          <cell r="D243">
            <v>37</v>
          </cell>
          <cell r="E243">
            <v>18</v>
          </cell>
        </row>
        <row r="244">
          <cell r="A244" t="str">
            <v>SOUTH OXFORDSHIRE</v>
          </cell>
          <cell r="B244">
            <v>27</v>
          </cell>
          <cell r="C244">
            <v>17</v>
          </cell>
          <cell r="D244">
            <v>52</v>
          </cell>
          <cell r="E244">
            <v>38</v>
          </cell>
        </row>
        <row r="245">
          <cell r="A245" t="str">
            <v>SOUTH RIBBLE</v>
          </cell>
          <cell r="B245">
            <v>34</v>
          </cell>
          <cell r="C245">
            <v>2</v>
          </cell>
          <cell r="D245">
            <v>56</v>
          </cell>
          <cell r="E245">
            <v>15</v>
          </cell>
        </row>
        <row r="246">
          <cell r="A246" t="str">
            <v>SOUTH STAFFORDSHIRE</v>
          </cell>
          <cell r="B246">
            <v>26</v>
          </cell>
          <cell r="C246">
            <v>6</v>
          </cell>
          <cell r="D246">
            <v>28</v>
          </cell>
          <cell r="E246">
            <v>6</v>
          </cell>
        </row>
        <row r="247">
          <cell r="A247" t="str">
            <v>SOUTH TYNESIDE</v>
          </cell>
          <cell r="B247">
            <v>7</v>
          </cell>
          <cell r="C247">
            <v>23</v>
          </cell>
          <cell r="D247">
            <v>30</v>
          </cell>
          <cell r="E247">
            <v>32</v>
          </cell>
        </row>
        <row r="248">
          <cell r="A248" t="str">
            <v>SOUTHAMPTON</v>
          </cell>
          <cell r="B248">
            <v>11</v>
          </cell>
          <cell r="C248">
            <v>40</v>
          </cell>
          <cell r="D248">
            <v>40</v>
          </cell>
          <cell r="E248">
            <v>36</v>
          </cell>
        </row>
        <row r="249">
          <cell r="A249" t="str">
            <v>SOUTHEND-ON-SEA</v>
          </cell>
          <cell r="B249">
            <v>17</v>
          </cell>
          <cell r="C249">
            <v>48</v>
          </cell>
          <cell r="D249">
            <v>45</v>
          </cell>
          <cell r="E249">
            <v>23</v>
          </cell>
        </row>
        <row r="250">
          <cell r="A250" t="str">
            <v>SOUTHWARK</v>
          </cell>
          <cell r="C250">
            <v>137</v>
          </cell>
          <cell r="D250">
            <v>7</v>
          </cell>
          <cell r="E250">
            <v>43</v>
          </cell>
        </row>
        <row r="251">
          <cell r="A251" t="str">
            <v>SPELTHORNE</v>
          </cell>
          <cell r="B251">
            <v>5</v>
          </cell>
          <cell r="C251">
            <v>30</v>
          </cell>
          <cell r="D251">
            <v>17</v>
          </cell>
          <cell r="E251">
            <v>17</v>
          </cell>
        </row>
        <row r="252">
          <cell r="A252" t="str">
            <v>ST ALBANS</v>
          </cell>
          <cell r="B252">
            <v>23</v>
          </cell>
          <cell r="C252">
            <v>24</v>
          </cell>
          <cell r="D252">
            <v>24</v>
          </cell>
          <cell r="E252">
            <v>26</v>
          </cell>
        </row>
        <row r="253">
          <cell r="A253" t="str">
            <v>ST HELENS</v>
          </cell>
          <cell r="B253">
            <v>35</v>
          </cell>
          <cell r="C253">
            <v>5</v>
          </cell>
          <cell r="D253">
            <v>83</v>
          </cell>
          <cell r="E253">
            <v>53</v>
          </cell>
        </row>
        <row r="254">
          <cell r="A254" t="str">
            <v>STAFFORD</v>
          </cell>
          <cell r="B254">
            <v>35</v>
          </cell>
          <cell r="C254">
            <v>14</v>
          </cell>
          <cell r="D254">
            <v>31</v>
          </cell>
          <cell r="E254">
            <v>18</v>
          </cell>
        </row>
        <row r="255">
          <cell r="A255" t="str">
            <v>STAFFORDSHIRE MOORLANDS</v>
          </cell>
          <cell r="B255">
            <v>30</v>
          </cell>
          <cell r="C255">
            <v>3</v>
          </cell>
          <cell r="D255">
            <v>37</v>
          </cell>
          <cell r="E255">
            <v>10</v>
          </cell>
        </row>
        <row r="256">
          <cell r="A256" t="str">
            <v>STEVENAGE</v>
          </cell>
          <cell r="B256">
            <v>7</v>
          </cell>
          <cell r="C256">
            <v>12</v>
          </cell>
          <cell r="D256">
            <v>12</v>
          </cell>
          <cell r="E256">
            <v>23</v>
          </cell>
        </row>
        <row r="257">
          <cell r="A257" t="str">
            <v>STOCKPORT</v>
          </cell>
          <cell r="B257">
            <v>53</v>
          </cell>
          <cell r="C257">
            <v>26</v>
          </cell>
          <cell r="D257">
            <v>100</v>
          </cell>
          <cell r="E257">
            <v>56</v>
          </cell>
        </row>
        <row r="258">
          <cell r="A258" t="str">
            <v>STOCKTON-ON-TEES</v>
          </cell>
          <cell r="B258">
            <v>60</v>
          </cell>
          <cell r="C258">
            <v>6</v>
          </cell>
          <cell r="D258">
            <v>47</v>
          </cell>
          <cell r="E258">
            <v>38</v>
          </cell>
        </row>
        <row r="259">
          <cell r="A259" t="str">
            <v>STOKE-ON-TRENT</v>
          </cell>
          <cell r="B259">
            <v>27</v>
          </cell>
          <cell r="C259">
            <v>29</v>
          </cell>
          <cell r="D259">
            <v>65</v>
          </cell>
          <cell r="E259">
            <v>92</v>
          </cell>
        </row>
        <row r="260">
          <cell r="A260" t="str">
            <v>STRATFORD-ON-AVON</v>
          </cell>
          <cell r="B260">
            <v>61</v>
          </cell>
          <cell r="C260">
            <v>19</v>
          </cell>
          <cell r="D260">
            <v>28</v>
          </cell>
          <cell r="E260">
            <v>20</v>
          </cell>
        </row>
        <row r="261">
          <cell r="A261" t="str">
            <v>STROUD</v>
          </cell>
          <cell r="B261">
            <v>50</v>
          </cell>
          <cell r="C261">
            <v>13</v>
          </cell>
          <cell r="D261">
            <v>36</v>
          </cell>
          <cell r="E261">
            <v>43</v>
          </cell>
        </row>
        <row r="262">
          <cell r="A262" t="str">
            <v>SUNDERLAND</v>
          </cell>
          <cell r="B262">
            <v>30</v>
          </cell>
          <cell r="C262">
            <v>23</v>
          </cell>
          <cell r="D262">
            <v>78</v>
          </cell>
          <cell r="E262">
            <v>101</v>
          </cell>
        </row>
        <row r="263">
          <cell r="A263" t="str">
            <v>SURREY HEATH</v>
          </cell>
          <cell r="B263">
            <v>22</v>
          </cell>
          <cell r="C263">
            <v>26</v>
          </cell>
          <cell r="D263">
            <v>26</v>
          </cell>
          <cell r="E263">
            <v>9</v>
          </cell>
        </row>
        <row r="264">
          <cell r="A264" t="str">
            <v>SUTTON</v>
          </cell>
          <cell r="B264">
            <v>17</v>
          </cell>
          <cell r="C264">
            <v>62</v>
          </cell>
          <cell r="D264">
            <v>27</v>
          </cell>
          <cell r="E264">
            <v>49</v>
          </cell>
        </row>
        <row r="265">
          <cell r="A265" t="str">
            <v>SWALE</v>
          </cell>
          <cell r="B265">
            <v>37</v>
          </cell>
          <cell r="C265">
            <v>10</v>
          </cell>
          <cell r="D265">
            <v>39</v>
          </cell>
          <cell r="E265">
            <v>49</v>
          </cell>
        </row>
        <row r="266">
          <cell r="A266" t="str">
            <v>SWANSEA</v>
          </cell>
          <cell r="B266">
            <v>48</v>
          </cell>
          <cell r="C266">
            <v>14</v>
          </cell>
          <cell r="D266">
            <v>62</v>
          </cell>
          <cell r="E266">
            <v>72</v>
          </cell>
        </row>
        <row r="267">
          <cell r="A267" t="str">
            <v>SWINDON</v>
          </cell>
          <cell r="B267">
            <v>38</v>
          </cell>
          <cell r="C267">
            <v>60</v>
          </cell>
          <cell r="D267">
            <v>51</v>
          </cell>
          <cell r="E267">
            <v>62</v>
          </cell>
        </row>
        <row r="268">
          <cell r="A268" t="str">
            <v>TAMESIDE</v>
          </cell>
          <cell r="B268">
            <v>16</v>
          </cell>
          <cell r="C268">
            <v>29</v>
          </cell>
          <cell r="D268">
            <v>69</v>
          </cell>
          <cell r="E268">
            <v>70</v>
          </cell>
        </row>
        <row r="269">
          <cell r="A269" t="str">
            <v>TAMWORTH</v>
          </cell>
          <cell r="B269">
            <v>19</v>
          </cell>
          <cell r="C269">
            <v>7</v>
          </cell>
          <cell r="D269">
            <v>18</v>
          </cell>
          <cell r="E269">
            <v>11</v>
          </cell>
        </row>
        <row r="270">
          <cell r="A270" t="str">
            <v>TANDRIDGE</v>
          </cell>
          <cell r="B270">
            <v>22</v>
          </cell>
          <cell r="C270">
            <v>14</v>
          </cell>
          <cell r="D270">
            <v>24</v>
          </cell>
          <cell r="E270">
            <v>9</v>
          </cell>
        </row>
        <row r="271">
          <cell r="A271" t="str">
            <v>TEIGNBRIDGE</v>
          </cell>
          <cell r="B271">
            <v>59</v>
          </cell>
          <cell r="C271">
            <v>27</v>
          </cell>
          <cell r="D271">
            <v>26</v>
          </cell>
          <cell r="E271">
            <v>39</v>
          </cell>
        </row>
        <row r="272">
          <cell r="A272" t="str">
            <v>TELFORD AND WREKIN</v>
          </cell>
          <cell r="B272">
            <v>71</v>
          </cell>
          <cell r="C272">
            <v>9</v>
          </cell>
          <cell r="D272">
            <v>46</v>
          </cell>
          <cell r="E272">
            <v>22</v>
          </cell>
        </row>
        <row r="273">
          <cell r="A273" t="str">
            <v>TENDRING</v>
          </cell>
          <cell r="B273">
            <v>37</v>
          </cell>
          <cell r="C273">
            <v>13</v>
          </cell>
          <cell r="D273">
            <v>36</v>
          </cell>
          <cell r="E273">
            <v>26</v>
          </cell>
        </row>
        <row r="274">
          <cell r="A274" t="str">
            <v>TEST VALLEY</v>
          </cell>
          <cell r="B274">
            <v>62</v>
          </cell>
          <cell r="C274">
            <v>12</v>
          </cell>
          <cell r="D274">
            <v>47</v>
          </cell>
          <cell r="E274">
            <v>28</v>
          </cell>
        </row>
        <row r="275">
          <cell r="A275" t="str">
            <v>TEWKESBURY</v>
          </cell>
          <cell r="B275">
            <v>31</v>
          </cell>
          <cell r="C275">
            <v>51</v>
          </cell>
          <cell r="D275">
            <v>34</v>
          </cell>
          <cell r="E275">
            <v>36</v>
          </cell>
        </row>
        <row r="276">
          <cell r="A276" t="str">
            <v>THANET</v>
          </cell>
          <cell r="B276">
            <v>22</v>
          </cell>
          <cell r="C276">
            <v>18</v>
          </cell>
          <cell r="D276">
            <v>26</v>
          </cell>
          <cell r="E276">
            <v>34</v>
          </cell>
        </row>
        <row r="277">
          <cell r="A277" t="str">
            <v>THREE RIVERS</v>
          </cell>
          <cell r="B277">
            <v>11</v>
          </cell>
          <cell r="C277">
            <v>21</v>
          </cell>
          <cell r="D277">
            <v>20</v>
          </cell>
          <cell r="E277">
            <v>11</v>
          </cell>
        </row>
        <row r="278">
          <cell r="A278" t="str">
            <v>THURROCK</v>
          </cell>
          <cell r="B278">
            <v>23</v>
          </cell>
          <cell r="C278">
            <v>26</v>
          </cell>
          <cell r="D278">
            <v>39</v>
          </cell>
          <cell r="E278">
            <v>38</v>
          </cell>
        </row>
        <row r="279">
          <cell r="A279" t="str">
            <v>TONBRIDGE AND MALLING</v>
          </cell>
          <cell r="B279">
            <v>27</v>
          </cell>
          <cell r="C279">
            <v>13</v>
          </cell>
          <cell r="D279">
            <v>36</v>
          </cell>
          <cell r="E279">
            <v>30</v>
          </cell>
        </row>
        <row r="280">
          <cell r="A280" t="str">
            <v>TORBAY</v>
          </cell>
          <cell r="B280">
            <v>38</v>
          </cell>
          <cell r="C280">
            <v>26</v>
          </cell>
          <cell r="D280">
            <v>36</v>
          </cell>
          <cell r="E280">
            <v>33</v>
          </cell>
        </row>
        <row r="281">
          <cell r="A281" t="str">
            <v>TORFAEN</v>
          </cell>
          <cell r="B281">
            <v>12</v>
          </cell>
          <cell r="C281">
            <v>4</v>
          </cell>
          <cell r="D281">
            <v>18</v>
          </cell>
          <cell r="E281">
            <v>26</v>
          </cell>
        </row>
        <row r="282">
          <cell r="A282" t="str">
            <v>TORRIDGE</v>
          </cell>
          <cell r="B282">
            <v>35</v>
          </cell>
          <cell r="C282">
            <v>4</v>
          </cell>
          <cell r="D282">
            <v>7</v>
          </cell>
          <cell r="E282">
            <v>24</v>
          </cell>
        </row>
        <row r="283">
          <cell r="A283" t="str">
            <v>TOWER HAMLETS</v>
          </cell>
          <cell r="B283">
            <v>1</v>
          </cell>
          <cell r="C283">
            <v>108</v>
          </cell>
          <cell r="E283">
            <v>11</v>
          </cell>
        </row>
        <row r="284">
          <cell r="A284" t="str">
            <v>TRAFFORD</v>
          </cell>
          <cell r="B284">
            <v>28</v>
          </cell>
          <cell r="C284">
            <v>35</v>
          </cell>
          <cell r="D284">
            <v>78</v>
          </cell>
          <cell r="E284">
            <v>26</v>
          </cell>
        </row>
        <row r="285">
          <cell r="A285" t="str">
            <v>TUNBRIDGE WELLS</v>
          </cell>
          <cell r="B285">
            <v>20</v>
          </cell>
          <cell r="C285">
            <v>30</v>
          </cell>
          <cell r="D285">
            <v>27</v>
          </cell>
          <cell r="E285">
            <v>31</v>
          </cell>
        </row>
        <row r="286">
          <cell r="A286" t="str">
            <v>UTTLESFORD</v>
          </cell>
          <cell r="B286">
            <v>32</v>
          </cell>
          <cell r="C286">
            <v>4</v>
          </cell>
          <cell r="D286">
            <v>19</v>
          </cell>
          <cell r="E286">
            <v>21</v>
          </cell>
        </row>
        <row r="287">
          <cell r="A287" t="str">
            <v>VALE OF GLAMORGAN</v>
          </cell>
          <cell r="B287">
            <v>52</v>
          </cell>
          <cell r="C287">
            <v>14</v>
          </cell>
          <cell r="D287">
            <v>62</v>
          </cell>
          <cell r="E287">
            <v>37</v>
          </cell>
        </row>
        <row r="288">
          <cell r="A288" t="str">
            <v>VALE OF WHITE HORSE</v>
          </cell>
          <cell r="B288">
            <v>63</v>
          </cell>
          <cell r="C288">
            <v>28</v>
          </cell>
          <cell r="D288">
            <v>94</v>
          </cell>
          <cell r="E288">
            <v>71</v>
          </cell>
        </row>
        <row r="289">
          <cell r="A289" t="str">
            <v>WAKEFIELD</v>
          </cell>
          <cell r="B289">
            <v>39</v>
          </cell>
          <cell r="C289">
            <v>18</v>
          </cell>
          <cell r="D289">
            <v>68</v>
          </cell>
          <cell r="E289">
            <v>43</v>
          </cell>
        </row>
        <row r="290">
          <cell r="A290" t="str">
            <v>WALSALL</v>
          </cell>
          <cell r="B290">
            <v>2</v>
          </cell>
          <cell r="C290">
            <v>102</v>
          </cell>
          <cell r="D290">
            <v>16</v>
          </cell>
          <cell r="E290">
            <v>60</v>
          </cell>
        </row>
        <row r="291">
          <cell r="A291" t="str">
            <v>WALTHAM FOREST</v>
          </cell>
          <cell r="B291">
            <v>5</v>
          </cell>
          <cell r="C291">
            <v>181</v>
          </cell>
          <cell r="D291">
            <v>8</v>
          </cell>
          <cell r="E291">
            <v>60</v>
          </cell>
        </row>
        <row r="292">
          <cell r="A292" t="str">
            <v>WANDSWORTH</v>
          </cell>
          <cell r="B292">
            <v>38</v>
          </cell>
          <cell r="C292">
            <v>11</v>
          </cell>
          <cell r="D292">
            <v>67</v>
          </cell>
          <cell r="E292">
            <v>51</v>
          </cell>
        </row>
        <row r="293">
          <cell r="A293" t="str">
            <v>WARRINGTON</v>
          </cell>
          <cell r="B293">
            <v>34</v>
          </cell>
          <cell r="C293">
            <v>21</v>
          </cell>
          <cell r="D293">
            <v>34</v>
          </cell>
          <cell r="E293">
            <v>27</v>
          </cell>
        </row>
        <row r="294">
          <cell r="A294" t="str">
            <v>WARWICK</v>
          </cell>
          <cell r="B294">
            <v>9</v>
          </cell>
          <cell r="C294">
            <v>24</v>
          </cell>
          <cell r="D294">
            <v>10</v>
          </cell>
          <cell r="E294">
            <v>29</v>
          </cell>
        </row>
        <row r="295">
          <cell r="A295" t="str">
            <v>WATFORD</v>
          </cell>
          <cell r="B295">
            <v>27</v>
          </cell>
          <cell r="C295">
            <v>26</v>
          </cell>
          <cell r="D295">
            <v>15</v>
          </cell>
          <cell r="E295">
            <v>20</v>
          </cell>
        </row>
        <row r="296">
          <cell r="A296" t="str">
            <v>WAVERLEY</v>
          </cell>
          <cell r="B296">
            <v>63</v>
          </cell>
          <cell r="C296">
            <v>24</v>
          </cell>
          <cell r="D296">
            <v>40</v>
          </cell>
          <cell r="E296">
            <v>23</v>
          </cell>
        </row>
        <row r="297">
          <cell r="A297" t="str">
            <v>WEALDEN</v>
          </cell>
          <cell r="B297">
            <v>14</v>
          </cell>
          <cell r="C297">
            <v>18</v>
          </cell>
          <cell r="D297">
            <v>15</v>
          </cell>
          <cell r="E297">
            <v>21</v>
          </cell>
        </row>
        <row r="298">
          <cell r="A298" t="str">
            <v>WELWYN HATFIELD</v>
          </cell>
          <cell r="B298">
            <v>32</v>
          </cell>
          <cell r="C298">
            <v>28</v>
          </cell>
          <cell r="D298">
            <v>32</v>
          </cell>
          <cell r="E298">
            <v>21</v>
          </cell>
        </row>
        <row r="299">
          <cell r="A299" t="str">
            <v>WEST BERKSHIRE</v>
          </cell>
          <cell r="B299">
            <v>18</v>
          </cell>
          <cell r="C299">
            <v>4</v>
          </cell>
          <cell r="D299">
            <v>22</v>
          </cell>
          <cell r="E299">
            <v>18</v>
          </cell>
        </row>
        <row r="300">
          <cell r="A300" t="str">
            <v>WEST DEVON</v>
          </cell>
          <cell r="B300">
            <v>29</v>
          </cell>
          <cell r="C300">
            <v>13</v>
          </cell>
          <cell r="D300">
            <v>37</v>
          </cell>
          <cell r="E300">
            <v>24</v>
          </cell>
        </row>
        <row r="301">
          <cell r="A301" t="str">
            <v>WEST LANCASHIRE</v>
          </cell>
          <cell r="B301">
            <v>56</v>
          </cell>
          <cell r="C301">
            <v>1</v>
          </cell>
          <cell r="D301">
            <v>16</v>
          </cell>
          <cell r="E301">
            <v>16</v>
          </cell>
        </row>
        <row r="302">
          <cell r="A302" t="str">
            <v>WEST LINDSEY</v>
          </cell>
          <cell r="B302">
            <v>107</v>
          </cell>
          <cell r="C302">
            <v>30</v>
          </cell>
          <cell r="D302">
            <v>94</v>
          </cell>
          <cell r="E302">
            <v>81</v>
          </cell>
        </row>
        <row r="303">
          <cell r="A303" t="str">
            <v>WEST NORTHAMPTONSHIRE</v>
          </cell>
          <cell r="B303">
            <v>30</v>
          </cell>
          <cell r="C303">
            <v>18</v>
          </cell>
          <cell r="D303">
            <v>29</v>
          </cell>
          <cell r="E303">
            <v>27</v>
          </cell>
        </row>
        <row r="304">
          <cell r="A304" t="str">
            <v>WEST OXFORDSHIRE</v>
          </cell>
          <cell r="B304">
            <v>79</v>
          </cell>
          <cell r="C304">
            <v>15</v>
          </cell>
          <cell r="D304">
            <v>61</v>
          </cell>
          <cell r="E304">
            <v>48</v>
          </cell>
        </row>
        <row r="305">
          <cell r="A305" t="str">
            <v>WEST SUFFOLK</v>
          </cell>
          <cell r="B305">
            <v>53</v>
          </cell>
          <cell r="C305">
            <v>31</v>
          </cell>
          <cell r="D305">
            <v>62</v>
          </cell>
          <cell r="E305">
            <v>73</v>
          </cell>
        </row>
        <row r="306">
          <cell r="A306" t="str">
            <v>WESTMINSTER</v>
          </cell>
          <cell r="B306">
            <v>43</v>
          </cell>
          <cell r="C306">
            <v>16</v>
          </cell>
          <cell r="D306">
            <v>99</v>
          </cell>
          <cell r="E306">
            <v>81</v>
          </cell>
        </row>
        <row r="307">
          <cell r="A307" t="str">
            <v>WESTMORLAND AND FURNESS</v>
          </cell>
          <cell r="B307">
            <v>148</v>
          </cell>
          <cell r="C307">
            <v>40</v>
          </cell>
          <cell r="D307">
            <v>126</v>
          </cell>
          <cell r="E307">
            <v>118</v>
          </cell>
        </row>
        <row r="308">
          <cell r="A308" t="str">
            <v>WIGAN</v>
          </cell>
          <cell r="B308">
            <v>43</v>
          </cell>
          <cell r="C308">
            <v>14</v>
          </cell>
          <cell r="D308">
            <v>32</v>
          </cell>
          <cell r="E308">
            <v>21</v>
          </cell>
        </row>
        <row r="309">
          <cell r="A309" t="str">
            <v>WILTSHIRE</v>
          </cell>
          <cell r="B309">
            <v>27</v>
          </cell>
          <cell r="C309">
            <v>22</v>
          </cell>
          <cell r="D309">
            <v>23</v>
          </cell>
          <cell r="E309">
            <v>28</v>
          </cell>
        </row>
        <row r="310">
          <cell r="A310" t="str">
            <v>WINCHESTER</v>
          </cell>
          <cell r="B310">
            <v>40</v>
          </cell>
          <cell r="C310">
            <v>35</v>
          </cell>
          <cell r="D310">
            <v>106</v>
          </cell>
          <cell r="E310">
            <v>73</v>
          </cell>
        </row>
        <row r="311">
          <cell r="A311" t="str">
            <v>WINDSOR AND MAIDENHEAD</v>
          </cell>
          <cell r="B311">
            <v>19</v>
          </cell>
          <cell r="C311">
            <v>21</v>
          </cell>
          <cell r="D311">
            <v>19</v>
          </cell>
          <cell r="E311">
            <v>16</v>
          </cell>
        </row>
        <row r="312">
          <cell r="A312" t="str">
            <v>WIRRAL</v>
          </cell>
          <cell r="B312">
            <v>53</v>
          </cell>
          <cell r="C312">
            <v>23</v>
          </cell>
          <cell r="D312">
            <v>35</v>
          </cell>
          <cell r="E312">
            <v>22</v>
          </cell>
        </row>
        <row r="313">
          <cell r="A313" t="str">
            <v>WOKING</v>
          </cell>
          <cell r="B313">
            <v>20</v>
          </cell>
          <cell r="C313">
            <v>15</v>
          </cell>
          <cell r="D313">
            <v>56</v>
          </cell>
          <cell r="E313">
            <v>19</v>
          </cell>
        </row>
        <row r="314">
          <cell r="A314" t="str">
            <v>WOKINGHAM</v>
          </cell>
          <cell r="B314">
            <v>20</v>
          </cell>
          <cell r="C314">
            <v>9</v>
          </cell>
          <cell r="D314">
            <v>33</v>
          </cell>
          <cell r="E314">
            <v>18</v>
          </cell>
        </row>
        <row r="315">
          <cell r="A315" t="str">
            <v>WOLVERHAMPTON</v>
          </cell>
          <cell r="B315">
            <v>26</v>
          </cell>
          <cell r="C315">
            <v>39</v>
          </cell>
          <cell r="D315">
            <v>24</v>
          </cell>
          <cell r="E315">
            <v>25</v>
          </cell>
        </row>
        <row r="316">
          <cell r="A316" t="str">
            <v>WORCESTER</v>
          </cell>
          <cell r="B316">
            <v>53</v>
          </cell>
          <cell r="C316">
            <v>6</v>
          </cell>
          <cell r="D316">
            <v>50</v>
          </cell>
          <cell r="E316">
            <v>32</v>
          </cell>
        </row>
        <row r="317">
          <cell r="A317" t="str">
            <v>WORTHING</v>
          </cell>
          <cell r="B317">
            <v>48</v>
          </cell>
          <cell r="C317">
            <v>10</v>
          </cell>
          <cell r="D317">
            <v>32</v>
          </cell>
          <cell r="E317">
            <v>25</v>
          </cell>
        </row>
        <row r="318">
          <cell r="A318" t="str">
            <v>WREXHAM</v>
          </cell>
          <cell r="B318">
            <v>60</v>
          </cell>
          <cell r="C318">
            <v>5</v>
          </cell>
          <cell r="D318">
            <v>30</v>
          </cell>
          <cell r="E318">
            <v>19</v>
          </cell>
        </row>
        <row r="319">
          <cell r="A319" t="str">
            <v>WYCHAVON</v>
          </cell>
          <cell r="C319">
            <v>2</v>
          </cell>
        </row>
        <row r="320">
          <cell r="A320" t="str">
            <v>WYCOMBE</v>
          </cell>
          <cell r="B320">
            <v>30</v>
          </cell>
          <cell r="C320">
            <v>10</v>
          </cell>
          <cell r="D320">
            <v>50</v>
          </cell>
          <cell r="E320">
            <v>13</v>
          </cell>
        </row>
        <row r="321">
          <cell r="A321" t="str">
            <v>WYRE</v>
          </cell>
          <cell r="B321">
            <v>35</v>
          </cell>
          <cell r="C321">
            <v>4</v>
          </cell>
          <cell r="D321">
            <v>27</v>
          </cell>
          <cell r="E321">
            <v>21</v>
          </cell>
        </row>
        <row r="322">
          <cell r="A322" t="str">
            <v>WYRE FOREST</v>
          </cell>
          <cell r="B322">
            <v>37</v>
          </cell>
          <cell r="C322">
            <v>18</v>
          </cell>
          <cell r="D322">
            <v>45</v>
          </cell>
          <cell r="E322">
            <v>32</v>
          </cell>
        </row>
        <row r="323">
          <cell r="A323" t="str">
            <v>YORK</v>
          </cell>
          <cell r="B323">
            <v>11681</v>
          </cell>
          <cell r="C323">
            <v>8997</v>
          </cell>
          <cell r="D323">
            <v>13014</v>
          </cell>
          <cell r="E323">
            <v>12633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0.784206018521" createdVersion="8" refreshedVersion="8" minRefreshableVersion="3" recordCount="331" xr:uid="{155E11A7-65E3-4C47-B844-19CD339C913D}">
  <cacheSource type="worksheet">
    <worksheetSource ref="A1:H332" sheet="LAS_REGION_EW_2021"/>
  </cacheSource>
  <cacheFields count="8">
    <cacheField name="LA_code" numFmtId="0">
      <sharedItems/>
    </cacheField>
    <cacheField name="LA_name" numFmtId="0">
      <sharedItems/>
    </cacheField>
    <cacheField name="Region_code" numFmtId="0">
      <sharedItems/>
    </cacheField>
    <cacheField name="Region_name" numFmtId="0">
      <sharedItems count="10">
        <s v="South East"/>
        <s v="North West"/>
        <s v="East Midlands"/>
        <s v="East"/>
        <s v="London"/>
        <s v="Yorkshire and The Humber"/>
        <s v="South West"/>
        <s v="West Midlands"/>
        <s v="Wales"/>
        <s v="North East"/>
      </sharedItems>
    </cacheField>
    <cacheField name="sold_D" numFmtId="0">
      <sharedItems containsSemiMixedTypes="0" containsString="0" containsNumber="1" containsInteger="1" minValue="0" maxValue="11681"/>
    </cacheField>
    <cacheField name="sold_F" numFmtId="0">
      <sharedItems containsSemiMixedTypes="0" containsString="0" containsNumber="1" containsInteger="1" minValue="0" maxValue="8997"/>
    </cacheField>
    <cacheField name="sold_S" numFmtId="0">
      <sharedItems containsSemiMixedTypes="0" containsString="0" containsNumber="1" containsInteger="1" minValue="0" maxValue="13014"/>
    </cacheField>
    <cacheField name="sold_T" numFmtId="0">
      <sharedItems containsSemiMixedTypes="0" containsString="0" containsNumber="1" containsInteger="1" minValue="0" maxValue="126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0.816050578702" createdVersion="8" refreshedVersion="8" minRefreshableVersion="3" recordCount="331" xr:uid="{AF539D9E-3E9F-4C4B-8376-FB4C1C772035}">
  <cacheSource type="worksheet">
    <worksheetSource ref="A1:L332" sheet="LAS_REGION_EW_2021"/>
  </cacheSource>
  <cacheFields count="12">
    <cacheField name="LA_code" numFmtId="0">
      <sharedItems/>
    </cacheField>
    <cacheField name="LA_name" numFmtId="0">
      <sharedItems/>
    </cacheField>
    <cacheField name="Region_code" numFmtId="0">
      <sharedItems/>
    </cacheField>
    <cacheField name="Region_name" numFmtId="0">
      <sharedItems count="10">
        <s v="South East"/>
        <s v="North West"/>
        <s v="East Midlands"/>
        <s v="East"/>
        <s v="London"/>
        <s v="Yorkshire and The Humber"/>
        <s v="South West"/>
        <s v="West Midlands"/>
        <s v="Wales"/>
        <s v="North East"/>
      </sharedItems>
    </cacheField>
    <cacheField name="Sum of D" numFmtId="0">
      <sharedItems containsSemiMixedTypes="0" containsString="0" containsNumber="1" containsInteger="1" minValue="0" maxValue="11681"/>
    </cacheField>
    <cacheField name="Sum of F" numFmtId="0">
      <sharedItems containsSemiMixedTypes="0" containsString="0" containsNumber="1" containsInteger="1" minValue="0" maxValue="8997"/>
    </cacheField>
    <cacheField name="sum of S" numFmtId="0">
      <sharedItems containsSemiMixedTypes="0" containsString="0" containsNumber="1" containsInteger="1" minValue="0" maxValue="13014"/>
    </cacheField>
    <cacheField name="Sum of T" numFmtId="0">
      <sharedItems containsSemiMixedTypes="0" containsString="0" containsNumber="1" containsInteger="1" minValue="0" maxValue="12633"/>
    </cacheField>
    <cacheField name="detached" numFmtId="0">
      <sharedItems containsSemiMixedTypes="0" containsString="0" containsNumber="1" containsInteger="1" minValue="7" maxValue="93105"/>
    </cacheField>
    <cacheField name="semi-detached" numFmtId="0">
      <sharedItems containsSemiMixedTypes="0" containsString="0" containsNumber="1" containsInteger="1" minValue="15" maxValue="150608"/>
    </cacheField>
    <cacheField name="terraced" numFmtId="0">
      <sharedItems containsSemiMixedTypes="0" containsString="0" containsNumber="1" containsInteger="1" minValue="78" maxValue="117527"/>
    </cacheField>
    <cacheField name="flats/maisonettes" numFmtId="0">
      <sharedItems containsSemiMixedTypes="0" containsString="0" containsNumber="1" containsInteger="1" minValue="77" maxValue="972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E07000223"/>
    <s v="Adur"/>
    <s v="E12000008"/>
    <x v="0"/>
    <n v="0"/>
    <n v="0"/>
    <n v="0"/>
    <n v="0"/>
  </r>
  <r>
    <s v="E07000026"/>
    <s v="Allerdale"/>
    <s v="E12000002"/>
    <x v="1"/>
    <n v="9"/>
    <n v="5"/>
    <n v="11"/>
    <n v="15"/>
  </r>
  <r>
    <s v="E07000032"/>
    <s v="Amber Valley"/>
    <s v="E12000004"/>
    <x v="2"/>
    <n v="34"/>
    <n v="6"/>
    <n v="28"/>
    <n v="25"/>
  </r>
  <r>
    <s v="E07000224"/>
    <s v="Arun"/>
    <s v="E12000008"/>
    <x v="0"/>
    <n v="54"/>
    <n v="26"/>
    <n v="38"/>
    <n v="39"/>
  </r>
  <r>
    <s v="E07000170"/>
    <s v="Ashfield"/>
    <s v="E12000004"/>
    <x v="2"/>
    <n v="28"/>
    <n v="4"/>
    <n v="39"/>
    <n v="23"/>
  </r>
  <r>
    <s v="E07000105"/>
    <s v="Ashford"/>
    <s v="E12000008"/>
    <x v="0"/>
    <n v="30"/>
    <n v="21"/>
    <n v="37"/>
    <n v="21"/>
  </r>
  <r>
    <s v="E07000200"/>
    <s v="Babergh"/>
    <s v="E12000006"/>
    <x v="3"/>
    <n v="38"/>
    <n v="4"/>
    <n v="35"/>
    <n v="19"/>
  </r>
  <r>
    <s v="E09000002"/>
    <s v="Barking and Dagenham"/>
    <s v="E12000007"/>
    <x v="4"/>
    <n v="2"/>
    <n v="20"/>
    <n v="12"/>
    <n v="57"/>
  </r>
  <r>
    <s v="E09000003"/>
    <s v="Barnet"/>
    <s v="E12000007"/>
    <x v="4"/>
    <n v="8"/>
    <n v="179"/>
    <n v="40"/>
    <n v="34"/>
  </r>
  <r>
    <s v="E08000016"/>
    <s v="Barnsley"/>
    <s v="E12000003"/>
    <x v="5"/>
    <n v="0"/>
    <n v="0"/>
    <n v="0"/>
    <n v="0"/>
  </r>
  <r>
    <s v="E07000027"/>
    <s v="Barrow-in-Furness"/>
    <s v="E12000002"/>
    <x v="1"/>
    <n v="40"/>
    <n v="8"/>
    <n v="50"/>
    <n v="62"/>
  </r>
  <r>
    <s v="E07000066"/>
    <s v="Basildon"/>
    <s v="E12000006"/>
    <x v="3"/>
    <n v="36"/>
    <n v="13"/>
    <n v="30"/>
    <n v="37"/>
  </r>
  <r>
    <s v="E07000084"/>
    <s v="Basingstoke and Deane"/>
    <s v="E12000008"/>
    <x v="0"/>
    <n v="81"/>
    <n v="31"/>
    <n v="41"/>
    <n v="49"/>
  </r>
  <r>
    <s v="E07000171"/>
    <s v="Bassetlaw"/>
    <s v="E12000004"/>
    <x v="2"/>
    <n v="43"/>
    <n v="5"/>
    <n v="40"/>
    <n v="16"/>
  </r>
  <r>
    <s v="E06000022"/>
    <s v="Bath and North East Somerset"/>
    <s v="E12000009"/>
    <x v="6"/>
    <n v="35"/>
    <n v="30"/>
    <n v="51"/>
    <n v="58"/>
  </r>
  <r>
    <s v="E06000055"/>
    <s v="Bedford"/>
    <s v="E12000006"/>
    <x v="3"/>
    <n v="52"/>
    <n v="23"/>
    <n v="39"/>
    <n v="35"/>
  </r>
  <r>
    <s v="E09000004"/>
    <s v="Bexley"/>
    <s v="E12000007"/>
    <x v="4"/>
    <n v="6"/>
    <n v="33"/>
    <n v="62"/>
    <n v="49"/>
  </r>
  <r>
    <s v="E08000025"/>
    <s v="Birmingham"/>
    <s v="E12000005"/>
    <x v="7"/>
    <n v="80"/>
    <n v="140"/>
    <n v="203"/>
    <n v="208"/>
  </r>
  <r>
    <s v="E07000129"/>
    <s v="Blaby"/>
    <s v="E12000004"/>
    <x v="2"/>
    <n v="32"/>
    <n v="2"/>
    <n v="27"/>
    <n v="8"/>
  </r>
  <r>
    <s v="E06000008"/>
    <s v="Blackburn with Darwen"/>
    <s v="E12000002"/>
    <x v="1"/>
    <n v="33"/>
    <n v="4"/>
    <n v="28"/>
    <n v="54"/>
  </r>
  <r>
    <s v="E06000009"/>
    <s v="Blackpool"/>
    <s v="E12000002"/>
    <x v="1"/>
    <n v="14"/>
    <n v="13"/>
    <n v="52"/>
    <n v="46"/>
  </r>
  <r>
    <s v="W06000019"/>
    <s v="Blaenau Gwent"/>
    <s v="W92000004"/>
    <x v="8"/>
    <n v="1"/>
    <n v="1"/>
    <n v="7"/>
    <n v="26"/>
  </r>
  <r>
    <s v="E07000033"/>
    <s v="Bolsover"/>
    <s v="E12000004"/>
    <x v="2"/>
    <n v="21"/>
    <n v="1"/>
    <n v="27"/>
    <n v="17"/>
  </r>
  <r>
    <s v="E08000001"/>
    <s v="Bolton"/>
    <s v="E12000002"/>
    <x v="1"/>
    <n v="44"/>
    <n v="12"/>
    <n v="88"/>
    <n v="84"/>
  </r>
  <r>
    <s v="E07000136"/>
    <s v="Boston"/>
    <s v="E12000004"/>
    <x v="2"/>
    <n v="26"/>
    <n v="0"/>
    <n v="9"/>
    <n v="8"/>
  </r>
  <r>
    <s v="E06000058"/>
    <s v="Bournemouth, Christchurch and Poole"/>
    <s v="E12000009"/>
    <x v="6"/>
    <n v="124"/>
    <n v="131"/>
    <n v="47"/>
    <n v="39"/>
  </r>
  <r>
    <s v="E06000036"/>
    <s v="Bracknell Forest"/>
    <s v="E12000008"/>
    <x v="0"/>
    <n v="34"/>
    <n v="29"/>
    <n v="25"/>
    <n v="29"/>
  </r>
  <r>
    <s v="E08000032"/>
    <s v="Bradford"/>
    <s v="E12000003"/>
    <x v="5"/>
    <n v="73"/>
    <n v="63"/>
    <n v="142"/>
    <n v="170"/>
  </r>
  <r>
    <s v="E07000067"/>
    <s v="Braintree"/>
    <s v="E12000006"/>
    <x v="3"/>
    <n v="58"/>
    <n v="20"/>
    <n v="40"/>
    <n v="20"/>
  </r>
  <r>
    <s v="E07000143"/>
    <s v="Breckland"/>
    <s v="E12000006"/>
    <x v="3"/>
    <n v="59"/>
    <n v="0"/>
    <n v="17"/>
    <n v="26"/>
  </r>
  <r>
    <s v="E09000005"/>
    <s v="Brent"/>
    <s v="E12000007"/>
    <x v="4"/>
    <n v="2"/>
    <n v="93"/>
    <n v="19"/>
    <n v="21"/>
  </r>
  <r>
    <s v="E07000068"/>
    <s v="Brentwood"/>
    <s v="E12000006"/>
    <x v="3"/>
    <n v="26"/>
    <n v="20"/>
    <n v="23"/>
    <n v="14"/>
  </r>
  <r>
    <s v="W06000013"/>
    <s v="Bridgend"/>
    <s v="W92000004"/>
    <x v="8"/>
    <n v="20"/>
    <n v="2"/>
    <n v="37"/>
    <n v="33"/>
  </r>
  <r>
    <s v="E06000043"/>
    <s v="Brighton and Hove"/>
    <s v="E12000008"/>
    <x v="0"/>
    <n v="23"/>
    <n v="6"/>
    <n v="29"/>
    <n v="25"/>
  </r>
  <r>
    <s v="E06000023"/>
    <s v="Bristol, City of"/>
    <s v="E12000009"/>
    <x v="6"/>
    <n v="22"/>
    <n v="116"/>
    <n v="31"/>
    <n v="73"/>
  </r>
  <r>
    <s v="E07000144"/>
    <s v="Broadland"/>
    <s v="E12000006"/>
    <x v="3"/>
    <n v="55"/>
    <n v="8"/>
    <n v="37"/>
    <n v="14"/>
  </r>
  <r>
    <s v="E09000006"/>
    <s v="Bromley"/>
    <s v="E12000007"/>
    <x v="4"/>
    <n v="39"/>
    <n v="73"/>
    <n v="58"/>
    <n v="45"/>
  </r>
  <r>
    <s v="E07000234"/>
    <s v="Bromsgrove"/>
    <s v="E12000005"/>
    <x v="7"/>
    <n v="22"/>
    <n v="3"/>
    <n v="19"/>
    <n v="13"/>
  </r>
  <r>
    <s v="E07000095"/>
    <s v="Broxbourne"/>
    <s v="E12000006"/>
    <x v="3"/>
    <n v="10"/>
    <n v="43"/>
    <n v="25"/>
    <n v="25"/>
  </r>
  <r>
    <s v="E07000172"/>
    <s v="Broxtowe"/>
    <s v="E12000004"/>
    <x v="2"/>
    <n v="32"/>
    <n v="5"/>
    <n v="38"/>
    <n v="16"/>
  </r>
  <r>
    <s v="E06000060"/>
    <s v="Buckinghamshire"/>
    <s v="E12000008"/>
    <x v="0"/>
    <n v="134"/>
    <n v="103"/>
    <n v="90"/>
    <n v="87"/>
  </r>
  <r>
    <s v="E07000117"/>
    <s v="Burnley"/>
    <s v="E12000002"/>
    <x v="1"/>
    <n v="12"/>
    <n v="15"/>
    <n v="28"/>
    <n v="46"/>
  </r>
  <r>
    <s v="E08000002"/>
    <s v="Bury"/>
    <s v="E12000002"/>
    <x v="1"/>
    <n v="35"/>
    <n v="6"/>
    <n v="72"/>
    <n v="47"/>
  </r>
  <r>
    <s v="W06000018"/>
    <s v="Caerphilly"/>
    <s v="W92000004"/>
    <x v="8"/>
    <n v="18"/>
    <n v="1"/>
    <n v="42"/>
    <n v="41"/>
  </r>
  <r>
    <s v="E08000033"/>
    <s v="Calderdale"/>
    <s v="E12000003"/>
    <x v="5"/>
    <n v="35"/>
    <n v="12"/>
    <n v="53"/>
    <n v="78"/>
  </r>
  <r>
    <s v="E07000008"/>
    <s v="Cambridge"/>
    <s v="E12000006"/>
    <x v="3"/>
    <n v="5"/>
    <n v="25"/>
    <n v="19"/>
    <n v="37"/>
  </r>
  <r>
    <s v="E09000007"/>
    <s v="Camden"/>
    <s v="E12000007"/>
    <x v="4"/>
    <n v="1"/>
    <n v="108"/>
    <n v="5"/>
    <n v="16"/>
  </r>
  <r>
    <s v="E07000192"/>
    <s v="Cannock Chase"/>
    <s v="E12000005"/>
    <x v="7"/>
    <n v="28"/>
    <n v="1"/>
    <n v="28"/>
    <n v="16"/>
  </r>
  <r>
    <s v="E07000106"/>
    <s v="Canterbury"/>
    <s v="E12000008"/>
    <x v="0"/>
    <n v="48"/>
    <n v="14"/>
    <n v="49"/>
    <n v="26"/>
  </r>
  <r>
    <s v="W06000015"/>
    <s v="Cardiff"/>
    <s v="W92000004"/>
    <x v="8"/>
    <n v="0"/>
    <n v="0"/>
    <n v="0"/>
    <n v="0"/>
  </r>
  <r>
    <s v="E07000028"/>
    <s v="Carlisle"/>
    <s v="E12000002"/>
    <x v="1"/>
    <n v="22"/>
    <n v="69"/>
    <n v="62"/>
    <n v="88"/>
  </r>
  <r>
    <s v="W06000010"/>
    <s v="Carmarthenshire"/>
    <s v="W92000004"/>
    <x v="8"/>
    <n v="49"/>
    <n v="4"/>
    <n v="38"/>
    <n v="27"/>
  </r>
  <r>
    <s v="E07000069"/>
    <s v="Castle Point"/>
    <s v="E12000006"/>
    <x v="3"/>
    <n v="29"/>
    <n v="2"/>
    <n v="19"/>
    <n v="4"/>
  </r>
  <r>
    <s v="E06000056"/>
    <s v="Central Bedfordshire"/>
    <s v="E12000006"/>
    <x v="3"/>
    <n v="81"/>
    <n v="28"/>
    <n v="106"/>
    <n v="73"/>
  </r>
  <r>
    <s v="W06000008"/>
    <s v="Ceredigion"/>
    <s v="W92000004"/>
    <x v="8"/>
    <n v="15"/>
    <n v="3"/>
    <n v="6"/>
    <n v="8"/>
  </r>
  <r>
    <s v="E07000130"/>
    <s v="Charnwood"/>
    <s v="E12000004"/>
    <x v="2"/>
    <n v="59"/>
    <n v="16"/>
    <n v="62"/>
    <n v="28"/>
  </r>
  <r>
    <s v="E07000070"/>
    <s v="Chelmsford"/>
    <s v="E12000006"/>
    <x v="3"/>
    <n v="52"/>
    <n v="27"/>
    <n v="42"/>
    <n v="21"/>
  </r>
  <r>
    <s v="E07000078"/>
    <s v="Cheltenham"/>
    <s v="E12000009"/>
    <x v="6"/>
    <n v="22"/>
    <n v="38"/>
    <n v="32"/>
    <n v="41"/>
  </r>
  <r>
    <s v="E07000177"/>
    <s v="Cherwell"/>
    <s v="E12000008"/>
    <x v="0"/>
    <n v="37"/>
    <n v="8"/>
    <n v="87"/>
    <n v="43"/>
  </r>
  <r>
    <s v="E06000049"/>
    <s v="Cheshire East"/>
    <s v="E12000002"/>
    <x v="1"/>
    <n v="177"/>
    <n v="32"/>
    <n v="144"/>
    <n v="86"/>
  </r>
  <r>
    <s v="E06000050"/>
    <s v="Cheshire West and Chester"/>
    <s v="E12000002"/>
    <x v="1"/>
    <n v="91"/>
    <n v="26"/>
    <n v="120"/>
    <n v="69"/>
  </r>
  <r>
    <s v="E07000034"/>
    <s v="Chesterfield"/>
    <s v="E12000004"/>
    <x v="2"/>
    <n v="22"/>
    <n v="10"/>
    <n v="31"/>
    <n v="27"/>
  </r>
  <r>
    <s v="E07000225"/>
    <s v="Chichester"/>
    <s v="E12000008"/>
    <x v="0"/>
    <n v="42"/>
    <n v="9"/>
    <n v="18"/>
    <n v="28"/>
  </r>
  <r>
    <s v="E07000118"/>
    <s v="Chorley"/>
    <s v="E12000002"/>
    <x v="1"/>
    <n v="54"/>
    <n v="15"/>
    <n v="88"/>
    <n v="41"/>
  </r>
  <r>
    <s v="E09000001"/>
    <s v="City of London"/>
    <s v="E12000007"/>
    <x v="4"/>
    <n v="14"/>
    <n v="15"/>
    <n v="54"/>
    <n v="124"/>
  </r>
  <r>
    <s v="E07000071"/>
    <s v="Colchester"/>
    <s v="E12000006"/>
    <x v="3"/>
    <n v="0"/>
    <n v="4"/>
    <n v="0"/>
    <n v="1"/>
  </r>
  <r>
    <s v="W06000003"/>
    <s v="Conwy"/>
    <s v="W92000004"/>
    <x v="8"/>
    <n v="0"/>
    <n v="0"/>
    <n v="0"/>
    <n v="0"/>
  </r>
  <r>
    <s v="E07000029"/>
    <s v="Copeland"/>
    <s v="E12000002"/>
    <x v="1"/>
    <n v="34"/>
    <n v="41"/>
    <n v="57"/>
    <n v="74"/>
  </r>
  <r>
    <s v="E06000052"/>
    <s v="Cornwall"/>
    <s v="E12000009"/>
    <x v="6"/>
    <n v="51"/>
    <n v="11"/>
    <n v="36"/>
    <n v="35"/>
  </r>
  <r>
    <s v="E07000079"/>
    <s v="Cotswold"/>
    <s v="E12000009"/>
    <x v="6"/>
    <n v="1"/>
    <n v="171"/>
    <n v="2"/>
    <n v="18"/>
  </r>
  <r>
    <s v="E06000047"/>
    <s v="County Durham"/>
    <s v="E12000001"/>
    <x v="9"/>
    <n v="49"/>
    <n v="28"/>
    <n v="49"/>
    <n v="36"/>
  </r>
  <r>
    <s v="E08000026"/>
    <s v="Coventry"/>
    <s v="E12000005"/>
    <x v="7"/>
    <n v="0"/>
    <n v="0"/>
    <n v="0"/>
    <n v="0"/>
  </r>
  <r>
    <s v="E07000163"/>
    <s v="Craven"/>
    <s v="E12000003"/>
    <x v="5"/>
    <n v="50"/>
    <n v="17"/>
    <n v="23"/>
    <n v="17"/>
  </r>
  <r>
    <s v="E07000226"/>
    <s v="Crawley"/>
    <s v="E12000008"/>
    <x v="0"/>
    <n v="223"/>
    <n v="135"/>
    <n v="104"/>
    <n v="157"/>
  </r>
  <r>
    <s v="E09000008"/>
    <s v="Croydon"/>
    <s v="E12000007"/>
    <x v="4"/>
    <n v="111"/>
    <n v="8"/>
    <n v="141"/>
    <n v="207"/>
  </r>
  <r>
    <s v="E07000096"/>
    <s v="Dacorum"/>
    <s v="E12000006"/>
    <x v="3"/>
    <n v="26"/>
    <n v="31"/>
    <n v="53"/>
    <n v="98"/>
  </r>
  <r>
    <s v="E06000005"/>
    <s v="Darlington"/>
    <s v="E12000001"/>
    <x v="9"/>
    <n v="5"/>
    <n v="12"/>
    <n v="11"/>
    <n v="24"/>
  </r>
  <r>
    <s v="E07000107"/>
    <s v="Dartford"/>
    <s v="E12000008"/>
    <x v="0"/>
    <n v="27"/>
    <n v="96"/>
    <n v="39"/>
    <n v="74"/>
  </r>
  <r>
    <s v="W06000004"/>
    <s v="Denbighshire"/>
    <s v="W92000004"/>
    <x v="8"/>
    <n v="71"/>
    <n v="20"/>
    <n v="81"/>
    <n v="101"/>
  </r>
  <r>
    <s v="E06000015"/>
    <s v="Derby"/>
    <s v="E12000004"/>
    <x v="2"/>
    <n v="28"/>
    <n v="22"/>
    <n v="40"/>
    <n v="41"/>
  </r>
  <r>
    <s v="E07000035"/>
    <s v="Derbyshire Dales"/>
    <s v="E12000004"/>
    <x v="2"/>
    <n v="23"/>
    <n v="5"/>
    <n v="27"/>
    <n v="40"/>
  </r>
  <r>
    <s v="E08000017"/>
    <s v="Doncaster"/>
    <s v="E12000003"/>
    <x v="5"/>
    <n v="15"/>
    <n v="36"/>
    <n v="24"/>
    <n v="52"/>
  </r>
  <r>
    <s v="E06000059"/>
    <s v="Dorset"/>
    <s v="E12000009"/>
    <x v="6"/>
    <n v="43"/>
    <n v="1"/>
    <n v="21"/>
    <n v="14"/>
  </r>
  <r>
    <s v="E07000108"/>
    <s v="Dover"/>
    <s v="E12000008"/>
    <x v="0"/>
    <n v="29"/>
    <n v="3"/>
    <n v="17"/>
    <n v="18"/>
  </r>
  <r>
    <s v="E08000027"/>
    <s v="Dudley"/>
    <s v="E12000005"/>
    <x v="7"/>
    <n v="64"/>
    <n v="12"/>
    <n v="121"/>
    <n v="80"/>
  </r>
  <r>
    <s v="E09000009"/>
    <s v="Ealing"/>
    <s v="E12000007"/>
    <x v="4"/>
    <n v="172"/>
    <n v="102"/>
    <n v="82"/>
    <n v="115"/>
  </r>
  <r>
    <s v="E07000009"/>
    <s v="East Cambridgeshire"/>
    <s v="E12000006"/>
    <x v="3"/>
    <n v="33"/>
    <n v="17"/>
    <n v="21"/>
    <n v="38"/>
  </r>
  <r>
    <s v="E07000040"/>
    <s v="East Devon"/>
    <s v="E12000009"/>
    <x v="6"/>
    <n v="42"/>
    <n v="18"/>
    <n v="68"/>
    <n v="43"/>
  </r>
  <r>
    <s v="E07000085"/>
    <s v="East Hampshire"/>
    <s v="E12000008"/>
    <x v="0"/>
    <n v="9"/>
    <n v="161"/>
    <n v="27"/>
    <n v="42"/>
  </r>
  <r>
    <s v="E07000242"/>
    <s v="East Hertfordshire"/>
    <s v="E12000006"/>
    <x v="3"/>
    <n v="30"/>
    <n v="3"/>
    <n v="21"/>
    <n v="17"/>
  </r>
  <r>
    <s v="E07000137"/>
    <s v="East Lindsey"/>
    <s v="E12000004"/>
    <x v="2"/>
    <n v="62"/>
    <n v="15"/>
    <n v="46"/>
    <n v="35"/>
  </r>
  <r>
    <s v="E06000011"/>
    <s v="East Riding of Yorkshire"/>
    <s v="E12000003"/>
    <x v="5"/>
    <n v="47"/>
    <n v="23"/>
    <n v="25"/>
    <n v="19"/>
  </r>
  <r>
    <s v="E07000193"/>
    <s v="East Staffordshire"/>
    <s v="E12000005"/>
    <x v="7"/>
    <n v="24"/>
    <n v="32"/>
    <n v="33"/>
    <n v="50"/>
  </r>
  <r>
    <s v="E07000244"/>
    <s v="East Suffolk"/>
    <s v="E12000006"/>
    <x v="3"/>
    <n v="67"/>
    <n v="3"/>
    <n v="38"/>
    <n v="22"/>
  </r>
  <r>
    <s v="E07000061"/>
    <s v="Eastbourne"/>
    <s v="E12000008"/>
    <x v="0"/>
    <n v="114"/>
    <n v="16"/>
    <n v="116"/>
    <n v="66"/>
  </r>
  <r>
    <s v="E07000086"/>
    <s v="Eastleigh"/>
    <s v="E12000008"/>
    <x v="0"/>
    <n v="0"/>
    <n v="0"/>
    <n v="0"/>
    <n v="0"/>
  </r>
  <r>
    <s v="E07000030"/>
    <s v="Eden"/>
    <s v="E12000002"/>
    <x v="1"/>
    <n v="48"/>
    <n v="9"/>
    <n v="43"/>
    <n v="35"/>
  </r>
  <r>
    <s v="E07000207"/>
    <s v="Elmbridge"/>
    <s v="E12000008"/>
    <x v="0"/>
    <n v="112"/>
    <n v="19"/>
    <n v="60"/>
    <n v="62"/>
  </r>
  <r>
    <s v="E09000010"/>
    <s v="Enfield"/>
    <s v="E12000007"/>
    <x v="4"/>
    <n v="16"/>
    <n v="41"/>
    <n v="23"/>
    <n v="18"/>
  </r>
  <r>
    <s v="E07000072"/>
    <s v="Epping Forest"/>
    <s v="E12000006"/>
    <x v="3"/>
    <n v="33"/>
    <n v="29"/>
    <n v="24"/>
    <n v="28"/>
  </r>
  <r>
    <s v="E07000208"/>
    <s v="Epsom and Ewell"/>
    <s v="E12000008"/>
    <x v="0"/>
    <n v="27"/>
    <n v="43"/>
    <n v="24"/>
    <n v="13"/>
  </r>
  <r>
    <s v="E07000036"/>
    <s v="Erewash"/>
    <s v="E12000004"/>
    <x v="2"/>
    <n v="4"/>
    <n v="55"/>
    <n v="30"/>
    <n v="70"/>
  </r>
  <r>
    <s v="E07000041"/>
    <s v="Exeter"/>
    <s v="E12000009"/>
    <x v="6"/>
    <n v="26"/>
    <n v="30"/>
    <n v="33"/>
    <n v="34"/>
  </r>
  <r>
    <s v="E07000087"/>
    <s v="Fareham"/>
    <s v="E12000008"/>
    <x v="0"/>
    <n v="5"/>
    <n v="12"/>
    <n v="6"/>
    <n v="8"/>
  </r>
  <r>
    <s v="E07000010"/>
    <s v="Fenland"/>
    <s v="E12000006"/>
    <x v="3"/>
    <n v="29"/>
    <n v="5"/>
    <n v="35"/>
    <n v="30"/>
  </r>
  <r>
    <s v="W06000005"/>
    <s v="Flintshire"/>
    <s v="W92000004"/>
    <x v="8"/>
    <n v="15"/>
    <n v="19"/>
    <n v="25"/>
    <n v="33"/>
  </r>
  <r>
    <s v="E07000112"/>
    <s v="Folkestone and Hythe"/>
    <s v="E12000008"/>
    <x v="0"/>
    <n v="26"/>
    <n v="11"/>
    <n v="24"/>
    <n v="21"/>
  </r>
  <r>
    <s v="E07000080"/>
    <s v="Forest of Dean"/>
    <s v="E12000009"/>
    <x v="6"/>
    <n v="32"/>
    <n v="10"/>
    <n v="26"/>
    <n v="17"/>
  </r>
  <r>
    <s v="E07000119"/>
    <s v="Fylde"/>
    <s v="E12000002"/>
    <x v="1"/>
    <n v="40"/>
    <n v="4"/>
    <n v="52"/>
    <n v="19"/>
  </r>
  <r>
    <s v="E08000037"/>
    <s v="Gateshead"/>
    <s v="E12000001"/>
    <x v="9"/>
    <n v="31"/>
    <n v="28"/>
    <n v="38"/>
    <n v="28"/>
  </r>
  <r>
    <s v="E07000173"/>
    <s v="Gedling"/>
    <s v="E12000004"/>
    <x v="2"/>
    <n v="30"/>
    <n v="4"/>
    <n v="16"/>
    <n v="13"/>
  </r>
  <r>
    <s v="E07000081"/>
    <s v="Gloucester"/>
    <s v="E12000009"/>
    <x v="6"/>
    <n v="32"/>
    <n v="30"/>
    <n v="60"/>
    <n v="63"/>
  </r>
  <r>
    <s v="E07000088"/>
    <s v="Gosport"/>
    <s v="E12000008"/>
    <x v="0"/>
    <n v="13"/>
    <n v="14"/>
    <n v="32"/>
    <n v="30"/>
  </r>
  <r>
    <s v="E07000109"/>
    <s v="Gravesham"/>
    <s v="E12000008"/>
    <x v="0"/>
    <n v="1"/>
    <n v="0"/>
    <n v="0"/>
    <n v="0"/>
  </r>
  <r>
    <s v="E07000145"/>
    <s v="Great Yarmouth"/>
    <s v="E12000006"/>
    <x v="3"/>
    <n v="6"/>
    <n v="15"/>
    <n v="12"/>
    <n v="31"/>
  </r>
  <r>
    <s v="E09000011"/>
    <s v="Greenwich"/>
    <s v="E12000007"/>
    <x v="4"/>
    <n v="8"/>
    <n v="10"/>
    <n v="19"/>
    <n v="31"/>
  </r>
  <r>
    <s v="E07000209"/>
    <s v="Guildford"/>
    <s v="E12000008"/>
    <x v="0"/>
    <n v="23"/>
    <n v="4"/>
    <n v="22"/>
    <n v="35"/>
  </r>
  <r>
    <s v="W06000002"/>
    <s v="Gwynedd"/>
    <s v="W92000004"/>
    <x v="8"/>
    <n v="2"/>
    <n v="117"/>
    <n v="20"/>
    <n v="57"/>
  </r>
  <r>
    <s v="E09000012"/>
    <s v="Hackney"/>
    <s v="E12000007"/>
    <x v="4"/>
    <n v="24"/>
    <n v="11"/>
    <n v="27"/>
    <n v="17"/>
  </r>
  <r>
    <s v="E06000006"/>
    <s v="Halton"/>
    <s v="E12000002"/>
    <x v="1"/>
    <n v="0"/>
    <n v="0"/>
    <n v="0"/>
    <n v="0"/>
  </r>
  <r>
    <s v="E07000164"/>
    <s v="Hambleton"/>
    <s v="E12000003"/>
    <x v="5"/>
    <n v="25"/>
    <n v="6"/>
    <n v="14"/>
    <n v="30"/>
  </r>
  <r>
    <s v="E09000013"/>
    <s v="Hammersmith and Fulham"/>
    <s v="E12000007"/>
    <x v="4"/>
    <n v="1"/>
    <n v="83"/>
    <n v="2"/>
    <n v="21"/>
  </r>
  <r>
    <s v="E07000131"/>
    <s v="Harborough"/>
    <s v="E12000004"/>
    <x v="2"/>
    <n v="43"/>
    <n v="20"/>
    <n v="16"/>
    <n v="41"/>
  </r>
  <r>
    <s v="E09000014"/>
    <s v="Haringey"/>
    <s v="E12000007"/>
    <x v="4"/>
    <n v="0"/>
    <n v="121"/>
    <n v="4"/>
    <n v="25"/>
  </r>
  <r>
    <s v="E07000073"/>
    <s v="Harlow"/>
    <s v="E12000006"/>
    <x v="3"/>
    <n v="0"/>
    <n v="0"/>
    <n v="0"/>
    <n v="0"/>
  </r>
  <r>
    <s v="E07000165"/>
    <s v="Harrogate"/>
    <s v="E12000003"/>
    <x v="5"/>
    <n v="38"/>
    <n v="8"/>
    <n v="21"/>
    <n v="19"/>
  </r>
  <r>
    <s v="E09000015"/>
    <s v="Harrow"/>
    <s v="E12000007"/>
    <x v="4"/>
    <n v="2"/>
    <n v="85"/>
    <n v="8"/>
    <n v="50"/>
  </r>
  <r>
    <s v="E07000089"/>
    <s v="Hart"/>
    <s v="E12000008"/>
    <x v="0"/>
    <n v="4"/>
    <n v="13"/>
    <n v="13"/>
    <n v="27"/>
  </r>
  <r>
    <s v="E06000001"/>
    <s v="Hartlepool"/>
    <s v="E12000001"/>
    <x v="9"/>
    <n v="15"/>
    <n v="61"/>
    <n v="25"/>
    <n v="27"/>
  </r>
  <r>
    <s v="E07000062"/>
    <s v="Hastings"/>
    <s v="E12000008"/>
    <x v="0"/>
    <n v="24"/>
    <n v="11"/>
    <n v="26"/>
    <n v="14"/>
  </r>
  <r>
    <s v="E07000090"/>
    <s v="Havant"/>
    <s v="E12000008"/>
    <x v="0"/>
    <n v="32"/>
    <n v="1"/>
    <n v="28"/>
    <n v="40"/>
  </r>
  <r>
    <s v="E09000016"/>
    <s v="Havering"/>
    <s v="E12000007"/>
    <x v="4"/>
    <n v="0"/>
    <n v="0"/>
    <n v="0"/>
    <n v="0"/>
  </r>
  <r>
    <s v="E06000019"/>
    <s v="Herefordshire, County of"/>
    <s v="E12000005"/>
    <x v="7"/>
    <n v="22"/>
    <n v="18"/>
    <n v="25"/>
    <n v="16"/>
  </r>
  <r>
    <s v="E07000098"/>
    <s v="Hertsmere"/>
    <s v="E12000006"/>
    <x v="3"/>
    <n v="21"/>
    <n v="25"/>
    <n v="64"/>
    <n v="57"/>
  </r>
  <r>
    <s v="E07000037"/>
    <s v="High Peak"/>
    <s v="E12000004"/>
    <x v="2"/>
    <n v="57"/>
    <n v="8"/>
    <n v="49"/>
    <n v="39"/>
  </r>
  <r>
    <s v="E09000017"/>
    <s v="Hillingdon"/>
    <s v="E12000007"/>
    <x v="4"/>
    <n v="18"/>
    <n v="14"/>
    <n v="32"/>
    <n v="11"/>
  </r>
  <r>
    <s v="E07000132"/>
    <s v="Hinckley and Bosworth"/>
    <s v="E12000004"/>
    <x v="2"/>
    <n v="17"/>
    <n v="9"/>
    <n v="26"/>
    <n v="34"/>
  </r>
  <r>
    <s v="E07000227"/>
    <s v="Horsham"/>
    <s v="E12000008"/>
    <x v="0"/>
    <n v="26"/>
    <n v="55"/>
    <n v="52"/>
    <n v="36"/>
  </r>
  <r>
    <s v="E09000018"/>
    <s v="Hounslow"/>
    <s v="E12000007"/>
    <x v="4"/>
    <n v="44"/>
    <n v="8"/>
    <n v="33"/>
    <n v="13"/>
  </r>
  <r>
    <s v="E07000011"/>
    <s v="Huntingdonshire"/>
    <s v="E12000006"/>
    <x v="3"/>
    <n v="55"/>
    <n v="17"/>
    <n v="27"/>
    <n v="21"/>
  </r>
  <r>
    <s v="E07000120"/>
    <s v="Hyndburn"/>
    <s v="E12000002"/>
    <x v="1"/>
    <n v="3"/>
    <n v="74"/>
    <n v="34"/>
    <n v="39"/>
  </r>
  <r>
    <s v="E07000202"/>
    <s v="Ipswich"/>
    <s v="E12000006"/>
    <x v="3"/>
    <n v="70"/>
    <n v="17"/>
    <n v="62"/>
    <n v="32"/>
  </r>
  <r>
    <s v="W06000001"/>
    <s v="Isle of Anglesey"/>
    <s v="W92000004"/>
    <x v="8"/>
    <n v="10"/>
    <n v="0"/>
    <n v="14"/>
    <n v="46"/>
  </r>
  <r>
    <s v="E06000046"/>
    <s v="Isle of Wight"/>
    <s v="E12000008"/>
    <x v="0"/>
    <n v="11"/>
    <n v="16"/>
    <n v="31"/>
    <n v="26"/>
  </r>
  <r>
    <s v="E06000053"/>
    <s v="Isles of Scilly"/>
    <s v="E12000009"/>
    <x v="6"/>
    <n v="27"/>
    <n v="2"/>
    <n v="12"/>
    <n v="18"/>
  </r>
  <r>
    <s v="E09000019"/>
    <s v="Islington"/>
    <s v="E12000007"/>
    <x v="4"/>
    <n v="42"/>
    <n v="26"/>
    <n v="29"/>
    <n v="25"/>
  </r>
  <r>
    <s v="E09000020"/>
    <s v="Kensington and Chelsea"/>
    <s v="E12000007"/>
    <x v="4"/>
    <n v="0"/>
    <n v="0"/>
    <n v="0"/>
    <n v="2"/>
  </r>
  <r>
    <s v="E07000146"/>
    <s v="King's Lynn and West Norfolk"/>
    <s v="E12000006"/>
    <x v="3"/>
    <n v="16"/>
    <n v="101"/>
    <n v="82"/>
    <n v="172"/>
  </r>
  <r>
    <s v="E06000010"/>
    <s v="Kingston upon Hull, City of"/>
    <s v="E12000003"/>
    <x v="5"/>
    <n v="0"/>
    <n v="105"/>
    <n v="1"/>
    <n v="8"/>
  </r>
  <r>
    <s v="E09000021"/>
    <s v="Kingston upon Thames"/>
    <s v="E12000007"/>
    <x v="4"/>
    <n v="1"/>
    <n v="97"/>
    <n v="3"/>
    <n v="18"/>
  </r>
  <r>
    <s v="E08000034"/>
    <s v="Kirklees"/>
    <s v="E12000003"/>
    <x v="5"/>
    <n v="69"/>
    <n v="2"/>
    <n v="47"/>
    <n v="36"/>
  </r>
  <r>
    <s v="E08000011"/>
    <s v="Knowsley"/>
    <s v="E12000002"/>
    <x v="1"/>
    <n v="11"/>
    <n v="49"/>
    <n v="19"/>
    <n v="22"/>
  </r>
  <r>
    <s v="E09000022"/>
    <s v="Lambeth"/>
    <s v="E12000007"/>
    <x v="4"/>
    <n v="91"/>
    <n v="8"/>
    <n v="128"/>
    <n v="118"/>
  </r>
  <r>
    <s v="E07000121"/>
    <s v="Lancaster"/>
    <s v="E12000002"/>
    <x v="1"/>
    <n v="16"/>
    <n v="3"/>
    <n v="48"/>
    <n v="19"/>
  </r>
  <r>
    <s v="E08000035"/>
    <s v="Leeds"/>
    <s v="E12000003"/>
    <x v="5"/>
    <n v="0"/>
    <n v="192"/>
    <n v="12"/>
    <n v="27"/>
  </r>
  <r>
    <s v="E06000016"/>
    <s v="Leicester"/>
    <s v="E12000004"/>
    <x v="2"/>
    <n v="22"/>
    <n v="17"/>
    <n v="46"/>
    <n v="34"/>
  </r>
  <r>
    <s v="E07000063"/>
    <s v="Lewes"/>
    <s v="E12000008"/>
    <x v="0"/>
    <n v="126"/>
    <n v="98"/>
    <n v="211"/>
    <n v="190"/>
  </r>
  <r>
    <s v="E09000023"/>
    <s v="Lewisham"/>
    <s v="E12000007"/>
    <x v="4"/>
    <n v="17"/>
    <n v="16"/>
    <n v="53"/>
    <n v="71"/>
  </r>
  <r>
    <s v="E07000194"/>
    <s v="Lichfield"/>
    <s v="E12000005"/>
    <x v="7"/>
    <n v="40"/>
    <n v="22"/>
    <n v="33"/>
    <n v="22"/>
  </r>
  <r>
    <s v="E07000138"/>
    <s v="Lincoln"/>
    <s v="E12000004"/>
    <x v="2"/>
    <n v="2"/>
    <n v="95"/>
    <n v="11"/>
    <n v="57"/>
  </r>
  <r>
    <s v="E08000012"/>
    <s v="Liverpool"/>
    <s v="E12000002"/>
    <x v="1"/>
    <n v="36"/>
    <n v="19"/>
    <n v="33"/>
    <n v="17"/>
  </r>
  <r>
    <s v="E06000032"/>
    <s v="Luton"/>
    <s v="E12000006"/>
    <x v="3"/>
    <n v="12"/>
    <n v="13"/>
    <n v="22"/>
    <n v="25"/>
  </r>
  <r>
    <s v="E07000110"/>
    <s v="Maidstone"/>
    <s v="E12000008"/>
    <x v="0"/>
    <n v="20"/>
    <n v="72"/>
    <n v="76"/>
    <n v="122"/>
  </r>
  <r>
    <s v="E07000074"/>
    <s v="Maldon"/>
    <s v="E12000006"/>
    <x v="3"/>
    <n v="16"/>
    <n v="18"/>
    <n v="35"/>
    <n v="23"/>
  </r>
  <r>
    <s v="E07000235"/>
    <s v="Malvern Hills"/>
    <s v="E12000005"/>
    <x v="7"/>
    <n v="44"/>
    <n v="26"/>
    <n v="54"/>
    <n v="35"/>
  </r>
  <r>
    <s v="E08000003"/>
    <s v="Manchester"/>
    <s v="E12000002"/>
    <x v="1"/>
    <n v="28"/>
    <n v="3"/>
    <n v="18"/>
    <n v="2"/>
  </r>
  <r>
    <s v="E07000174"/>
    <s v="Mansfield"/>
    <s v="E12000004"/>
    <x v="2"/>
    <n v="27"/>
    <n v="3"/>
    <n v="22"/>
    <n v="13"/>
  </r>
  <r>
    <s v="E06000035"/>
    <s v="Medway"/>
    <s v="E12000008"/>
    <x v="0"/>
    <n v="17"/>
    <n v="136"/>
    <n v="79"/>
    <n v="102"/>
  </r>
  <r>
    <s v="E07000133"/>
    <s v="Melton"/>
    <s v="E12000004"/>
    <x v="2"/>
    <n v="0"/>
    <n v="0"/>
    <n v="0"/>
    <n v="0"/>
  </r>
  <r>
    <s v="E07000187"/>
    <s v="Mendip"/>
    <s v="E12000009"/>
    <x v="6"/>
    <n v="39"/>
    <n v="4"/>
    <n v="36"/>
    <n v="20"/>
  </r>
  <r>
    <s v="W06000024"/>
    <s v="Merthyr Tydfil"/>
    <s v="W92000004"/>
    <x v="8"/>
    <n v="28"/>
    <n v="34"/>
    <n v="61"/>
    <n v="104"/>
  </r>
  <r>
    <s v="E09000024"/>
    <s v="Merton"/>
    <s v="E12000007"/>
    <x v="4"/>
    <n v="33"/>
    <n v="3"/>
    <n v="13"/>
    <n v="7"/>
  </r>
  <r>
    <s v="E07000042"/>
    <s v="Mid Devon"/>
    <s v="E12000009"/>
    <x v="6"/>
    <n v="8"/>
    <n v="2"/>
    <n v="7"/>
    <n v="18"/>
  </r>
  <r>
    <s v="E07000203"/>
    <s v="Mid Suffolk"/>
    <s v="E12000006"/>
    <x v="3"/>
    <n v="5"/>
    <n v="53"/>
    <n v="16"/>
    <n v="36"/>
  </r>
  <r>
    <s v="E07000228"/>
    <s v="Mid Sussex"/>
    <s v="E12000008"/>
    <x v="0"/>
    <n v="27"/>
    <n v="5"/>
    <n v="22"/>
    <n v="14"/>
  </r>
  <r>
    <s v="E06000002"/>
    <s v="Middlesbrough"/>
    <s v="E12000001"/>
    <x v="9"/>
    <n v="49"/>
    <n v="0"/>
    <n v="27"/>
    <n v="23"/>
  </r>
  <r>
    <s v="E06000042"/>
    <s v="Milton Keynes"/>
    <s v="E12000008"/>
    <x v="0"/>
    <n v="44"/>
    <n v="25"/>
    <n v="53"/>
    <n v="16"/>
  </r>
  <r>
    <s v="E07000210"/>
    <s v="Mole Valley"/>
    <s v="E12000008"/>
    <x v="0"/>
    <n v="13"/>
    <n v="6"/>
    <n v="45"/>
    <n v="44"/>
  </r>
  <r>
    <s v="W06000021"/>
    <s v="Monmouthshire"/>
    <s v="W92000004"/>
    <x v="8"/>
    <n v="72"/>
    <n v="71"/>
    <n v="71"/>
    <n v="71"/>
  </r>
  <r>
    <s v="W06000012"/>
    <s v="Neath Port Talbot"/>
    <s v="W92000004"/>
    <x v="8"/>
    <n v="20"/>
    <n v="7"/>
    <n v="13"/>
    <n v="14"/>
  </r>
  <r>
    <s v="E07000091"/>
    <s v="New Forest"/>
    <s v="E12000008"/>
    <x v="0"/>
    <n v="43"/>
    <n v="13"/>
    <n v="17"/>
    <n v="14"/>
  </r>
  <r>
    <s v="E07000175"/>
    <s v="Newark and Sherwood"/>
    <s v="E12000004"/>
    <x v="2"/>
    <n v="19"/>
    <n v="2"/>
    <n v="54"/>
    <n v="44"/>
  </r>
  <r>
    <s v="E08000021"/>
    <s v="Newcastle upon Tyne"/>
    <s v="E12000001"/>
    <x v="9"/>
    <n v="59"/>
    <n v="26"/>
    <n v="29"/>
    <n v="37"/>
  </r>
  <r>
    <s v="E07000195"/>
    <s v="Newcastle-under-Lyme"/>
    <s v="E12000005"/>
    <x v="7"/>
    <n v="49"/>
    <n v="3"/>
    <n v="30"/>
    <n v="20"/>
  </r>
  <r>
    <s v="E09000025"/>
    <s v="Newham"/>
    <s v="E12000007"/>
    <x v="4"/>
    <n v="66"/>
    <n v="63"/>
    <n v="78"/>
    <n v="74"/>
  </r>
  <r>
    <s v="W06000022"/>
    <s v="Newport"/>
    <s v="W92000004"/>
    <x v="8"/>
    <n v="34"/>
    <n v="4"/>
    <n v="47"/>
    <n v="28"/>
  </r>
  <r>
    <s v="E07000043"/>
    <s v="North Devon"/>
    <s v="E12000009"/>
    <x v="6"/>
    <n v="1"/>
    <n v="186"/>
    <n v="6"/>
    <n v="42"/>
  </r>
  <r>
    <s v="E07000038"/>
    <s v="North East Derbyshire"/>
    <s v="E12000004"/>
    <x v="2"/>
    <n v="28"/>
    <n v="15"/>
    <n v="27"/>
    <n v="44"/>
  </r>
  <r>
    <s v="E06000012"/>
    <s v="North East Lincolnshire"/>
    <s v="E12000003"/>
    <x v="5"/>
    <n v="51"/>
    <n v="11"/>
    <n v="12"/>
    <n v="24"/>
  </r>
  <r>
    <s v="E07000099"/>
    <s v="North Hertfordshire"/>
    <s v="E12000006"/>
    <x v="3"/>
    <n v="29"/>
    <n v="0"/>
    <n v="39"/>
    <n v="11"/>
  </r>
  <r>
    <s v="E07000139"/>
    <s v="North Kesteven"/>
    <s v="E12000004"/>
    <x v="2"/>
    <n v="29"/>
    <n v="6"/>
    <n v="50"/>
    <n v="53"/>
  </r>
  <r>
    <s v="E06000013"/>
    <s v="North Lincolnshire"/>
    <s v="E12000003"/>
    <x v="5"/>
    <n v="23"/>
    <n v="22"/>
    <n v="32"/>
    <n v="35"/>
  </r>
  <r>
    <s v="E07000147"/>
    <s v="North Norfolk"/>
    <s v="E12000006"/>
    <x v="3"/>
    <n v="0"/>
    <n v="0"/>
    <n v="0"/>
    <n v="0"/>
  </r>
  <r>
    <s v="E06000061"/>
    <s v="North Northamptonshire "/>
    <s v="E12000004"/>
    <x v="2"/>
    <n v="54"/>
    <n v="4"/>
    <n v="45"/>
    <n v="19"/>
  </r>
  <r>
    <s v="E06000024"/>
    <s v="North Somerset"/>
    <s v="E12000009"/>
    <x v="6"/>
    <n v="55"/>
    <n v="13"/>
    <n v="25"/>
    <n v="22"/>
  </r>
  <r>
    <s v="E08000022"/>
    <s v="North Tyneside"/>
    <s v="E12000001"/>
    <x v="9"/>
    <n v="101"/>
    <n v="20"/>
    <n v="115"/>
    <n v="53"/>
  </r>
  <r>
    <s v="E07000218"/>
    <s v="North Warwickshire"/>
    <s v="E12000005"/>
    <x v="7"/>
    <n v="73"/>
    <n v="50"/>
    <n v="61"/>
    <n v="47"/>
  </r>
  <r>
    <s v="E07000134"/>
    <s v="North West Leicestershire"/>
    <s v="E12000004"/>
    <x v="2"/>
    <n v="13"/>
    <n v="1"/>
    <n v="20"/>
    <n v="13"/>
  </r>
  <r>
    <s v="E06000057"/>
    <s v="Northumberland"/>
    <s v="E12000001"/>
    <x v="9"/>
    <n v="45"/>
    <n v="2"/>
    <n v="49"/>
    <n v="21"/>
  </r>
  <r>
    <s v="E07000148"/>
    <s v="Norwich"/>
    <s v="E12000006"/>
    <x v="3"/>
    <n v="0"/>
    <n v="0"/>
    <n v="0"/>
    <n v="0"/>
  </r>
  <r>
    <s v="E06000018"/>
    <s v="Nottingham"/>
    <s v="E12000004"/>
    <x v="2"/>
    <n v="209"/>
    <n v="62"/>
    <n v="198"/>
    <n v="161"/>
  </r>
  <r>
    <s v="E07000219"/>
    <s v="Nuneaton and Bedworth"/>
    <s v="E12000005"/>
    <x v="7"/>
    <n v="130"/>
    <n v="27"/>
    <n v="97"/>
    <n v="98"/>
  </r>
  <r>
    <s v="E07000135"/>
    <s v="Oadby and Wigston"/>
    <s v="E12000004"/>
    <x v="2"/>
    <n v="16"/>
    <n v="30"/>
    <n v="22"/>
    <n v="50"/>
  </r>
  <r>
    <s v="E08000004"/>
    <s v="Oldham"/>
    <s v="E12000002"/>
    <x v="1"/>
    <n v="29"/>
    <n v="5"/>
    <n v="33"/>
    <n v="23"/>
  </r>
  <r>
    <s v="E07000178"/>
    <s v="Oxford"/>
    <s v="E12000008"/>
    <x v="0"/>
    <n v="25"/>
    <n v="2"/>
    <n v="20"/>
    <n v="3"/>
  </r>
  <r>
    <s v="W06000009"/>
    <s v="Pembrokeshire"/>
    <s v="W92000004"/>
    <x v="8"/>
    <n v="20"/>
    <n v="23"/>
    <n v="35"/>
    <n v="58"/>
  </r>
  <r>
    <s v="E07000122"/>
    <s v="Pendle"/>
    <s v="E12000002"/>
    <x v="1"/>
    <n v="3"/>
    <n v="18"/>
    <n v="19"/>
    <n v="26"/>
  </r>
  <r>
    <s v="E06000031"/>
    <s v="Peterborough"/>
    <s v="E12000006"/>
    <x v="3"/>
    <n v="44"/>
    <n v="6"/>
    <n v="21"/>
    <n v="24"/>
  </r>
  <r>
    <s v="E06000026"/>
    <s v="Plymouth"/>
    <s v="E12000009"/>
    <x v="6"/>
    <n v="17"/>
    <n v="3"/>
    <n v="11"/>
    <n v="49"/>
  </r>
  <r>
    <s v="E06000044"/>
    <s v="Portsmouth"/>
    <s v="E12000008"/>
    <x v="0"/>
    <n v="9"/>
    <n v="46"/>
    <n v="14"/>
    <n v="89"/>
  </r>
  <r>
    <s v="W06000023"/>
    <s v="Powys"/>
    <s v="W92000004"/>
    <x v="8"/>
    <n v="43"/>
    <n v="3"/>
    <n v="18"/>
    <n v="26"/>
  </r>
  <r>
    <s v="E07000123"/>
    <s v="Preston"/>
    <s v="E12000002"/>
    <x v="1"/>
    <n v="50"/>
    <n v="24"/>
    <n v="55"/>
    <n v="39"/>
  </r>
  <r>
    <s v="E06000038"/>
    <s v="Reading"/>
    <s v="E12000008"/>
    <x v="0"/>
    <n v="8"/>
    <n v="50"/>
    <n v="23"/>
    <n v="46"/>
  </r>
  <r>
    <s v="E09000026"/>
    <s v="Redbridge"/>
    <s v="E12000007"/>
    <x v="4"/>
    <n v="4"/>
    <n v="47"/>
    <n v="18"/>
    <n v="64"/>
  </r>
  <r>
    <s v="E06000003"/>
    <s v="Redcar and Cleveland"/>
    <s v="E12000001"/>
    <x v="9"/>
    <n v="24"/>
    <n v="4"/>
    <n v="54"/>
    <n v="32"/>
  </r>
  <r>
    <s v="E07000236"/>
    <s v="Redditch"/>
    <s v="E12000005"/>
    <x v="7"/>
    <n v="16"/>
    <n v="5"/>
    <n v="13"/>
    <n v="14"/>
  </r>
  <r>
    <s v="E07000211"/>
    <s v="Reigate and Banstead"/>
    <s v="E12000008"/>
    <x v="0"/>
    <n v="0"/>
    <n v="0"/>
    <n v="0"/>
    <n v="0"/>
  </r>
  <r>
    <s v="W06000016"/>
    <s v="Rhondda Cynon Taf"/>
    <s v="W92000004"/>
    <x v="8"/>
    <n v="19"/>
    <n v="5"/>
    <n v="32"/>
    <n v="99"/>
  </r>
  <r>
    <s v="E07000124"/>
    <s v="Ribble Valley"/>
    <s v="E12000002"/>
    <x v="1"/>
    <n v="17"/>
    <n v="0"/>
    <n v="24"/>
    <n v="25"/>
  </r>
  <r>
    <s v="E09000027"/>
    <s v="Richmond upon Thames"/>
    <s v="E12000007"/>
    <x v="4"/>
    <n v="0"/>
    <n v="0"/>
    <n v="0"/>
    <n v="0"/>
  </r>
  <r>
    <s v="E07000166"/>
    <s v="Richmondshire"/>
    <s v="E12000003"/>
    <x v="5"/>
    <n v="9"/>
    <n v="52"/>
    <n v="17"/>
    <n v="39"/>
  </r>
  <r>
    <s v="E08000005"/>
    <s v="Rochdale"/>
    <s v="E12000002"/>
    <x v="1"/>
    <n v="30"/>
    <n v="8"/>
    <n v="57"/>
    <n v="78"/>
  </r>
  <r>
    <s v="E07000075"/>
    <s v="Rochford"/>
    <s v="E12000006"/>
    <x v="3"/>
    <n v="29"/>
    <n v="7"/>
    <n v="31"/>
    <n v="9"/>
  </r>
  <r>
    <s v="E07000125"/>
    <s v="Rossendale"/>
    <s v="E12000002"/>
    <x v="1"/>
    <n v="10"/>
    <n v="7"/>
    <n v="13"/>
    <n v="32"/>
  </r>
  <r>
    <s v="E07000064"/>
    <s v="Rother"/>
    <s v="E12000008"/>
    <x v="0"/>
    <n v="37"/>
    <n v="31"/>
    <n v="12"/>
    <n v="13"/>
  </r>
  <r>
    <s v="E08000018"/>
    <s v="Rotherham"/>
    <s v="E12000003"/>
    <x v="5"/>
    <n v="29"/>
    <n v="9"/>
    <n v="19"/>
    <n v="19"/>
  </r>
  <r>
    <s v="E07000220"/>
    <s v="Rugby"/>
    <s v="E12000005"/>
    <x v="7"/>
    <n v="15"/>
    <n v="53"/>
    <n v="15"/>
    <n v="12"/>
  </r>
  <r>
    <s v="E07000212"/>
    <s v="Runnymede"/>
    <s v="E12000008"/>
    <x v="0"/>
    <n v="62"/>
    <n v="7"/>
    <n v="27"/>
    <n v="12"/>
  </r>
  <r>
    <s v="E07000176"/>
    <s v="Rushcliffe"/>
    <s v="E12000004"/>
    <x v="2"/>
    <n v="9"/>
    <n v="65"/>
    <n v="23"/>
    <n v="22"/>
  </r>
  <r>
    <s v="E07000092"/>
    <s v="Rushmoor"/>
    <s v="E12000008"/>
    <x v="0"/>
    <n v="20"/>
    <n v="4"/>
    <n v="9"/>
    <n v="10"/>
  </r>
  <r>
    <s v="E06000017"/>
    <s v="Rutland"/>
    <s v="E12000004"/>
    <x v="2"/>
    <n v="0"/>
    <n v="0"/>
    <n v="0"/>
    <n v="0"/>
  </r>
  <r>
    <s v="E07000167"/>
    <s v="Ryedale"/>
    <s v="E12000003"/>
    <x v="5"/>
    <n v="17"/>
    <n v="79"/>
    <n v="62"/>
    <n v="55"/>
  </r>
  <r>
    <s v="E08000006"/>
    <s v="Salford"/>
    <s v="E12000002"/>
    <x v="1"/>
    <n v="13"/>
    <n v="15"/>
    <n v="59"/>
    <n v="45"/>
  </r>
  <r>
    <s v="E08000028"/>
    <s v="Sandwell"/>
    <s v="E12000005"/>
    <x v="7"/>
    <n v="0"/>
    <n v="0"/>
    <n v="0"/>
    <n v="0"/>
  </r>
  <r>
    <s v="E07000168"/>
    <s v="Scarborough"/>
    <s v="E12000003"/>
    <x v="5"/>
    <n v="0"/>
    <n v="0"/>
    <n v="0"/>
    <n v="0"/>
  </r>
  <r>
    <s v="E07000188"/>
    <s v="Sedgemoor"/>
    <s v="E12000009"/>
    <x v="6"/>
    <n v="63"/>
    <n v="44"/>
    <n v="93"/>
    <n v="33"/>
  </r>
  <r>
    <s v="E08000014"/>
    <s v="Sefton"/>
    <s v="E12000002"/>
    <x v="1"/>
    <n v="0"/>
    <n v="0"/>
    <n v="0"/>
    <n v="0"/>
  </r>
  <r>
    <s v="E07000169"/>
    <s v="Selby"/>
    <s v="E12000003"/>
    <x v="5"/>
    <n v="32"/>
    <n v="19"/>
    <n v="30"/>
    <n v="25"/>
  </r>
  <r>
    <s v="E07000111"/>
    <s v="Sevenoaks"/>
    <s v="E12000008"/>
    <x v="0"/>
    <n v="60"/>
    <n v="72"/>
    <n v="143"/>
    <n v="135"/>
  </r>
  <r>
    <s v="E08000019"/>
    <s v="Sheffield"/>
    <s v="E12000003"/>
    <x v="5"/>
    <n v="129"/>
    <n v="19"/>
    <n v="80"/>
    <n v="53"/>
  </r>
  <r>
    <s v="E06000051"/>
    <s v="Shropshire"/>
    <s v="E12000005"/>
    <x v="7"/>
    <n v="5"/>
    <n v="25"/>
    <n v="16"/>
    <n v="17"/>
  </r>
  <r>
    <s v="E06000039"/>
    <s v="Slough"/>
    <s v="E12000008"/>
    <x v="0"/>
    <n v="37"/>
    <n v="27"/>
    <n v="57"/>
    <n v="35"/>
  </r>
  <r>
    <s v="E08000029"/>
    <s v="Solihull"/>
    <s v="E12000005"/>
    <x v="7"/>
    <n v="0"/>
    <n v="0"/>
    <n v="0"/>
    <n v="0"/>
  </r>
  <r>
    <s v="E07000246"/>
    <s v="Somerset West and Taunton"/>
    <s v="E12000009"/>
    <x v="6"/>
    <n v="67"/>
    <n v="17"/>
    <n v="33"/>
    <n v="19"/>
  </r>
  <r>
    <s v="E07000012"/>
    <s v="South Cambridgeshire"/>
    <s v="E12000006"/>
    <x v="3"/>
    <n v="46"/>
    <n v="6"/>
    <n v="37"/>
    <n v="23"/>
  </r>
  <r>
    <s v="E07000039"/>
    <s v="South Derbyshire"/>
    <s v="E12000004"/>
    <x v="2"/>
    <n v="52"/>
    <n v="29"/>
    <n v="61"/>
    <n v="68"/>
  </r>
  <r>
    <s v="E06000025"/>
    <s v="South Gloucestershire"/>
    <s v="E12000009"/>
    <x v="6"/>
    <n v="63"/>
    <n v="12"/>
    <n v="15"/>
    <n v="30"/>
  </r>
  <r>
    <s v="E07000044"/>
    <s v="South Hams"/>
    <s v="E12000009"/>
    <x v="6"/>
    <n v="46"/>
    <n v="2"/>
    <n v="17"/>
    <n v="12"/>
  </r>
  <r>
    <s v="E07000140"/>
    <s v="South Holland"/>
    <s v="E12000004"/>
    <x v="2"/>
    <n v="77"/>
    <n v="9"/>
    <n v="33"/>
    <n v="28"/>
  </r>
  <r>
    <s v="E07000141"/>
    <s v="South Kesteven"/>
    <s v="E12000004"/>
    <x v="2"/>
    <n v="0"/>
    <n v="0"/>
    <n v="0"/>
    <n v="0"/>
  </r>
  <r>
    <s v="E07000031"/>
    <s v="South Lakeland"/>
    <s v="E12000002"/>
    <x v="1"/>
    <n v="61"/>
    <n v="4"/>
    <n v="37"/>
    <n v="18"/>
  </r>
  <r>
    <s v="E07000149"/>
    <s v="South Norfolk"/>
    <s v="E12000006"/>
    <x v="3"/>
    <n v="27"/>
    <n v="17"/>
    <n v="52"/>
    <n v="38"/>
  </r>
  <r>
    <s v="E07000179"/>
    <s v="South Oxfordshire"/>
    <s v="E12000008"/>
    <x v="0"/>
    <n v="34"/>
    <n v="2"/>
    <n v="56"/>
    <n v="15"/>
  </r>
  <r>
    <s v="E07000126"/>
    <s v="South Ribble"/>
    <s v="E12000002"/>
    <x v="1"/>
    <n v="0"/>
    <n v="0"/>
    <n v="0"/>
    <n v="0"/>
  </r>
  <r>
    <s v="E07000189"/>
    <s v="South Somerset"/>
    <s v="E12000009"/>
    <x v="6"/>
    <n v="26"/>
    <n v="6"/>
    <n v="28"/>
    <n v="6"/>
  </r>
  <r>
    <s v="E07000196"/>
    <s v="South Staffordshire"/>
    <s v="E12000005"/>
    <x v="7"/>
    <n v="7"/>
    <n v="23"/>
    <n v="30"/>
    <n v="32"/>
  </r>
  <r>
    <s v="E08000023"/>
    <s v="South Tyneside"/>
    <s v="E12000001"/>
    <x v="9"/>
    <n v="11"/>
    <n v="40"/>
    <n v="40"/>
    <n v="36"/>
  </r>
  <r>
    <s v="E06000045"/>
    <s v="Southampton"/>
    <s v="E12000008"/>
    <x v="0"/>
    <n v="17"/>
    <n v="48"/>
    <n v="45"/>
    <n v="23"/>
  </r>
  <r>
    <s v="E06000033"/>
    <s v="Southend-on-Sea"/>
    <s v="E12000006"/>
    <x v="3"/>
    <n v="0"/>
    <n v="137"/>
    <n v="7"/>
    <n v="43"/>
  </r>
  <r>
    <s v="E09000028"/>
    <s v="Southwark"/>
    <s v="E12000007"/>
    <x v="4"/>
    <n v="5"/>
    <n v="30"/>
    <n v="17"/>
    <n v="17"/>
  </r>
  <r>
    <s v="E07000213"/>
    <s v="Spelthorne"/>
    <s v="E12000008"/>
    <x v="0"/>
    <n v="23"/>
    <n v="24"/>
    <n v="24"/>
    <n v="26"/>
  </r>
  <r>
    <s v="E07000240"/>
    <s v="St Albans"/>
    <s v="E12000006"/>
    <x v="3"/>
    <n v="0"/>
    <n v="0"/>
    <n v="0"/>
    <n v="0"/>
  </r>
  <r>
    <s v="E08000013"/>
    <s v="St. Helens"/>
    <s v="E12000002"/>
    <x v="1"/>
    <n v="35"/>
    <n v="14"/>
    <n v="31"/>
    <n v="18"/>
  </r>
  <r>
    <s v="E07000197"/>
    <s v="Stafford"/>
    <s v="E12000005"/>
    <x v="7"/>
    <n v="30"/>
    <n v="3"/>
    <n v="37"/>
    <n v="10"/>
  </r>
  <r>
    <s v="E07000198"/>
    <s v="Staffordshire Moorlands"/>
    <s v="E12000005"/>
    <x v="7"/>
    <n v="7"/>
    <n v="12"/>
    <n v="12"/>
    <n v="23"/>
  </r>
  <r>
    <s v="E07000243"/>
    <s v="Stevenage"/>
    <s v="E12000006"/>
    <x v="3"/>
    <n v="53"/>
    <n v="26"/>
    <n v="100"/>
    <n v="56"/>
  </r>
  <r>
    <s v="E08000007"/>
    <s v="Stockport"/>
    <s v="E12000002"/>
    <x v="1"/>
    <n v="60"/>
    <n v="6"/>
    <n v="47"/>
    <n v="38"/>
  </r>
  <r>
    <s v="E06000004"/>
    <s v="Stockton-on-Tees"/>
    <s v="E12000001"/>
    <x v="9"/>
    <n v="27"/>
    <n v="29"/>
    <n v="65"/>
    <n v="92"/>
  </r>
  <r>
    <s v="E06000021"/>
    <s v="Stoke-on-Trent"/>
    <s v="E12000005"/>
    <x v="7"/>
    <n v="61"/>
    <n v="19"/>
    <n v="28"/>
    <n v="20"/>
  </r>
  <r>
    <s v="E07000221"/>
    <s v="Stratford-on-Avon"/>
    <s v="E12000005"/>
    <x v="7"/>
    <n v="50"/>
    <n v="13"/>
    <n v="36"/>
    <n v="43"/>
  </r>
  <r>
    <s v="E07000082"/>
    <s v="Stroud"/>
    <s v="E12000009"/>
    <x v="6"/>
    <n v="30"/>
    <n v="23"/>
    <n v="78"/>
    <n v="101"/>
  </r>
  <r>
    <s v="E08000024"/>
    <s v="Sunderland"/>
    <s v="E12000001"/>
    <x v="9"/>
    <n v="22"/>
    <n v="26"/>
    <n v="26"/>
    <n v="9"/>
  </r>
  <r>
    <s v="E07000214"/>
    <s v="Surrey Heath"/>
    <s v="E12000008"/>
    <x v="0"/>
    <n v="17"/>
    <n v="62"/>
    <n v="27"/>
    <n v="49"/>
  </r>
  <r>
    <s v="E09000029"/>
    <s v="Sutton"/>
    <s v="E12000007"/>
    <x v="4"/>
    <n v="37"/>
    <n v="10"/>
    <n v="39"/>
    <n v="49"/>
  </r>
  <r>
    <s v="E07000113"/>
    <s v="Swale"/>
    <s v="E12000008"/>
    <x v="0"/>
    <n v="48"/>
    <n v="14"/>
    <n v="62"/>
    <n v="72"/>
  </r>
  <r>
    <s v="W06000011"/>
    <s v="Swansea"/>
    <s v="W92000004"/>
    <x v="8"/>
    <n v="38"/>
    <n v="60"/>
    <n v="51"/>
    <n v="62"/>
  </r>
  <r>
    <s v="E06000030"/>
    <s v="Swindon"/>
    <s v="E12000009"/>
    <x v="6"/>
    <n v="16"/>
    <n v="29"/>
    <n v="69"/>
    <n v="70"/>
  </r>
  <r>
    <s v="E08000008"/>
    <s v="Tameside"/>
    <s v="E12000002"/>
    <x v="1"/>
    <n v="19"/>
    <n v="7"/>
    <n v="18"/>
    <n v="11"/>
  </r>
  <r>
    <s v="E07000199"/>
    <s v="Tamworth"/>
    <s v="E12000005"/>
    <x v="7"/>
    <n v="22"/>
    <n v="14"/>
    <n v="24"/>
    <n v="9"/>
  </r>
  <r>
    <s v="E07000215"/>
    <s v="Tandridge"/>
    <s v="E12000008"/>
    <x v="0"/>
    <n v="59"/>
    <n v="27"/>
    <n v="26"/>
    <n v="39"/>
  </r>
  <r>
    <s v="E07000045"/>
    <s v="Teignbridge"/>
    <s v="E12000009"/>
    <x v="6"/>
    <n v="71"/>
    <n v="9"/>
    <n v="46"/>
    <n v="22"/>
  </r>
  <r>
    <s v="E06000020"/>
    <s v="Telford and Wrekin"/>
    <s v="E12000005"/>
    <x v="7"/>
    <n v="37"/>
    <n v="13"/>
    <n v="36"/>
    <n v="26"/>
  </r>
  <r>
    <s v="E07000076"/>
    <s v="Tendring"/>
    <s v="E12000006"/>
    <x v="3"/>
    <n v="62"/>
    <n v="12"/>
    <n v="47"/>
    <n v="28"/>
  </r>
  <r>
    <s v="E07000093"/>
    <s v="Test Valley"/>
    <s v="E12000008"/>
    <x v="0"/>
    <n v="31"/>
    <n v="51"/>
    <n v="34"/>
    <n v="36"/>
  </r>
  <r>
    <s v="E07000083"/>
    <s v="Tewkesbury"/>
    <s v="E12000009"/>
    <x v="6"/>
    <n v="22"/>
    <n v="18"/>
    <n v="26"/>
    <n v="34"/>
  </r>
  <r>
    <s v="E07000114"/>
    <s v="Thanet"/>
    <s v="E12000008"/>
    <x v="0"/>
    <n v="11"/>
    <n v="21"/>
    <n v="20"/>
    <n v="11"/>
  </r>
  <r>
    <s v="E07000102"/>
    <s v="Three Rivers"/>
    <s v="E12000006"/>
    <x v="3"/>
    <n v="23"/>
    <n v="26"/>
    <n v="39"/>
    <n v="38"/>
  </r>
  <r>
    <s v="E06000034"/>
    <s v="Thurrock"/>
    <s v="E12000006"/>
    <x v="3"/>
    <n v="27"/>
    <n v="13"/>
    <n v="36"/>
    <n v="30"/>
  </r>
  <r>
    <s v="E07000115"/>
    <s v="Tonbridge and Malling"/>
    <s v="E12000008"/>
    <x v="0"/>
    <n v="38"/>
    <n v="26"/>
    <n v="36"/>
    <n v="33"/>
  </r>
  <r>
    <s v="E06000027"/>
    <s v="Torbay"/>
    <s v="E12000009"/>
    <x v="6"/>
    <n v="12"/>
    <n v="4"/>
    <n v="18"/>
    <n v="26"/>
  </r>
  <r>
    <s v="W06000020"/>
    <s v="Torfaen"/>
    <s v="W92000004"/>
    <x v="8"/>
    <n v="35"/>
    <n v="4"/>
    <n v="7"/>
    <n v="24"/>
  </r>
  <r>
    <s v="E07000046"/>
    <s v="Torridge"/>
    <s v="E12000009"/>
    <x v="6"/>
    <n v="1"/>
    <n v="108"/>
    <n v="0"/>
    <n v="11"/>
  </r>
  <r>
    <s v="E09000030"/>
    <s v="Tower Hamlets"/>
    <s v="E12000007"/>
    <x v="4"/>
    <n v="28"/>
    <n v="35"/>
    <n v="78"/>
    <n v="26"/>
  </r>
  <r>
    <s v="E08000009"/>
    <s v="Trafford"/>
    <s v="E12000002"/>
    <x v="1"/>
    <n v="20"/>
    <n v="30"/>
    <n v="27"/>
    <n v="31"/>
  </r>
  <r>
    <s v="E07000116"/>
    <s v="Tunbridge Wells"/>
    <s v="E12000008"/>
    <x v="0"/>
    <n v="32"/>
    <n v="4"/>
    <n v="19"/>
    <n v="21"/>
  </r>
  <r>
    <s v="E07000077"/>
    <s v="Uttlesford"/>
    <s v="E12000006"/>
    <x v="3"/>
    <n v="52"/>
    <n v="14"/>
    <n v="62"/>
    <n v="37"/>
  </r>
  <r>
    <s v="W06000014"/>
    <s v="Vale of Glamorgan"/>
    <s v="W92000004"/>
    <x v="8"/>
    <n v="63"/>
    <n v="28"/>
    <n v="94"/>
    <n v="71"/>
  </r>
  <r>
    <s v="E07000180"/>
    <s v="Vale of White Horse"/>
    <s v="E12000008"/>
    <x v="0"/>
    <n v="39"/>
    <n v="18"/>
    <n v="68"/>
    <n v="43"/>
  </r>
  <r>
    <s v="E08000036"/>
    <s v="Wakefield"/>
    <s v="E12000003"/>
    <x v="5"/>
    <n v="2"/>
    <n v="102"/>
    <n v="16"/>
    <n v="60"/>
  </r>
  <r>
    <s v="E08000030"/>
    <s v="Walsall"/>
    <s v="E12000005"/>
    <x v="7"/>
    <n v="5"/>
    <n v="181"/>
    <n v="8"/>
    <n v="60"/>
  </r>
  <r>
    <s v="E09000031"/>
    <s v="Waltham Forest"/>
    <s v="E12000007"/>
    <x v="4"/>
    <n v="38"/>
    <n v="11"/>
    <n v="67"/>
    <n v="51"/>
  </r>
  <r>
    <s v="E09000032"/>
    <s v="Wandsworth"/>
    <s v="E12000007"/>
    <x v="4"/>
    <n v="34"/>
    <n v="21"/>
    <n v="34"/>
    <n v="27"/>
  </r>
  <r>
    <s v="E06000007"/>
    <s v="Warrington"/>
    <s v="E12000002"/>
    <x v="1"/>
    <n v="9"/>
    <n v="24"/>
    <n v="10"/>
    <n v="29"/>
  </r>
  <r>
    <s v="E07000222"/>
    <s v="Warwick"/>
    <s v="E12000005"/>
    <x v="7"/>
    <n v="27"/>
    <n v="26"/>
    <n v="15"/>
    <n v="20"/>
  </r>
  <r>
    <s v="E07000103"/>
    <s v="Watford"/>
    <s v="E12000006"/>
    <x v="3"/>
    <n v="63"/>
    <n v="24"/>
    <n v="40"/>
    <n v="23"/>
  </r>
  <r>
    <s v="E07000216"/>
    <s v="Waverley"/>
    <s v="E12000008"/>
    <x v="0"/>
    <n v="14"/>
    <n v="18"/>
    <n v="15"/>
    <n v="21"/>
  </r>
  <r>
    <s v="E07000065"/>
    <s v="Wealden"/>
    <s v="E12000008"/>
    <x v="0"/>
    <n v="32"/>
    <n v="28"/>
    <n v="32"/>
    <n v="21"/>
  </r>
  <r>
    <s v="E07000241"/>
    <s v="Welwyn Hatfield"/>
    <s v="E12000006"/>
    <x v="3"/>
    <n v="18"/>
    <n v="4"/>
    <n v="22"/>
    <n v="18"/>
  </r>
  <r>
    <s v="E06000037"/>
    <s v="West Berkshire"/>
    <s v="E12000008"/>
    <x v="0"/>
    <n v="29"/>
    <n v="13"/>
    <n v="37"/>
    <n v="24"/>
  </r>
  <r>
    <s v="E07000047"/>
    <s v="West Devon"/>
    <s v="E12000009"/>
    <x v="6"/>
    <n v="56"/>
    <n v="1"/>
    <n v="16"/>
    <n v="16"/>
  </r>
  <r>
    <s v="E07000127"/>
    <s v="West Lancashire"/>
    <s v="E12000002"/>
    <x v="1"/>
    <n v="107"/>
    <n v="30"/>
    <n v="94"/>
    <n v="81"/>
  </r>
  <r>
    <s v="E07000142"/>
    <s v="West Lindsey"/>
    <s v="E12000004"/>
    <x v="2"/>
    <n v="0"/>
    <n v="0"/>
    <n v="0"/>
    <n v="0"/>
  </r>
  <r>
    <s v="E06000062"/>
    <s v="West Northamptonshire "/>
    <s v="E12000004"/>
    <x v="2"/>
    <n v="79"/>
    <n v="15"/>
    <n v="61"/>
    <n v="48"/>
  </r>
  <r>
    <s v="E07000181"/>
    <s v="West Oxfordshire"/>
    <s v="E12000008"/>
    <x v="0"/>
    <n v="53"/>
    <n v="31"/>
    <n v="62"/>
    <n v="73"/>
  </r>
  <r>
    <s v="E07000245"/>
    <s v="West Suffolk"/>
    <s v="E12000006"/>
    <x v="3"/>
    <n v="43"/>
    <n v="16"/>
    <n v="99"/>
    <n v="81"/>
  </r>
  <r>
    <s v="E09000033"/>
    <s v="Westminster"/>
    <s v="E12000007"/>
    <x v="4"/>
    <n v="43"/>
    <n v="14"/>
    <n v="32"/>
    <n v="21"/>
  </r>
  <r>
    <s v="E08000010"/>
    <s v="Wigan"/>
    <s v="E12000002"/>
    <x v="1"/>
    <n v="27"/>
    <n v="22"/>
    <n v="23"/>
    <n v="28"/>
  </r>
  <r>
    <s v="E06000054"/>
    <s v="Wiltshire"/>
    <s v="E12000009"/>
    <x v="6"/>
    <n v="40"/>
    <n v="35"/>
    <n v="106"/>
    <n v="73"/>
  </r>
  <r>
    <s v="E07000094"/>
    <s v="Winchester"/>
    <s v="E12000008"/>
    <x v="0"/>
    <n v="19"/>
    <n v="21"/>
    <n v="19"/>
    <n v="16"/>
  </r>
  <r>
    <s v="E06000040"/>
    <s v="Windsor and Maidenhead"/>
    <s v="E12000008"/>
    <x v="0"/>
    <n v="53"/>
    <n v="23"/>
    <n v="35"/>
    <n v="22"/>
  </r>
  <r>
    <s v="E08000015"/>
    <s v="Wirral"/>
    <s v="E12000002"/>
    <x v="1"/>
    <n v="20"/>
    <n v="15"/>
    <n v="56"/>
    <n v="19"/>
  </r>
  <r>
    <s v="E07000217"/>
    <s v="Woking"/>
    <s v="E12000008"/>
    <x v="0"/>
    <n v="20"/>
    <n v="9"/>
    <n v="33"/>
    <n v="18"/>
  </r>
  <r>
    <s v="E06000041"/>
    <s v="Wokingham"/>
    <s v="E12000008"/>
    <x v="0"/>
    <n v="26"/>
    <n v="39"/>
    <n v="24"/>
    <n v="25"/>
  </r>
  <r>
    <s v="E08000031"/>
    <s v="Wolverhampton"/>
    <s v="E12000005"/>
    <x v="7"/>
    <n v="53"/>
    <n v="6"/>
    <n v="50"/>
    <n v="32"/>
  </r>
  <r>
    <s v="E07000237"/>
    <s v="Worcester"/>
    <s v="E12000005"/>
    <x v="7"/>
    <n v="48"/>
    <n v="10"/>
    <n v="32"/>
    <n v="25"/>
  </r>
  <r>
    <s v="E07000229"/>
    <s v="Worthing"/>
    <s v="E12000008"/>
    <x v="0"/>
    <n v="60"/>
    <n v="5"/>
    <n v="30"/>
    <n v="19"/>
  </r>
  <r>
    <s v="W06000006"/>
    <s v="Wrexham"/>
    <s v="W92000004"/>
    <x v="8"/>
    <n v="0"/>
    <n v="2"/>
    <n v="0"/>
    <n v="0"/>
  </r>
  <r>
    <s v="E07000238"/>
    <s v="Wychavon"/>
    <s v="E12000005"/>
    <x v="7"/>
    <n v="35"/>
    <n v="4"/>
    <n v="27"/>
    <n v="21"/>
  </r>
  <r>
    <s v="E07000128"/>
    <s v="Wyre"/>
    <s v="E12000002"/>
    <x v="1"/>
    <n v="37"/>
    <n v="18"/>
    <n v="45"/>
    <n v="32"/>
  </r>
  <r>
    <s v="E07000239"/>
    <s v="Wyre Forest"/>
    <s v="E12000005"/>
    <x v="7"/>
    <n v="11681"/>
    <n v="8997"/>
    <n v="13014"/>
    <n v="12633"/>
  </r>
  <r>
    <s v="E06000014"/>
    <s v="York"/>
    <s v="E12000003"/>
    <x v="5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s v="E07000223"/>
    <s v="Adur"/>
    <s v="E12000008"/>
    <x v="0"/>
    <n v="0"/>
    <n v="0"/>
    <n v="0"/>
    <n v="0"/>
    <n v="5030"/>
    <n v="10567"/>
    <n v="5758"/>
    <n v="5004"/>
  </r>
  <r>
    <s v="E07000026"/>
    <s v="Allerdale"/>
    <s v="E12000002"/>
    <x v="1"/>
    <n v="9"/>
    <n v="5"/>
    <n v="11"/>
    <n v="15"/>
    <n v="12474"/>
    <n v="14914"/>
    <n v="12808"/>
    <n v="2519"/>
  </r>
  <r>
    <s v="E07000032"/>
    <s v="Amber Valley"/>
    <s v="E12000004"/>
    <x v="2"/>
    <n v="34"/>
    <n v="6"/>
    <n v="28"/>
    <n v="25"/>
    <n v="20624"/>
    <n v="20632"/>
    <n v="11157"/>
    <n v="2631"/>
  </r>
  <r>
    <s v="E07000224"/>
    <s v="Arun"/>
    <s v="E12000008"/>
    <x v="0"/>
    <n v="54"/>
    <n v="26"/>
    <n v="38"/>
    <n v="39"/>
    <n v="24179"/>
    <n v="18174"/>
    <n v="14057"/>
    <n v="11583"/>
  </r>
  <r>
    <s v="E07000170"/>
    <s v="Ashfield"/>
    <s v="E12000004"/>
    <x v="2"/>
    <n v="28"/>
    <n v="4"/>
    <n v="39"/>
    <n v="23"/>
    <n v="16512"/>
    <n v="22942"/>
    <n v="10598"/>
    <n v="3469"/>
  </r>
  <r>
    <s v="E07000105"/>
    <s v="Ashford"/>
    <s v="E12000008"/>
    <x v="0"/>
    <n v="30"/>
    <n v="21"/>
    <n v="37"/>
    <n v="21"/>
    <n v="17509"/>
    <n v="16430"/>
    <n v="11909"/>
    <n v="5787"/>
  </r>
  <r>
    <s v="E07000200"/>
    <s v="Babergh"/>
    <s v="E12000006"/>
    <x v="3"/>
    <n v="38"/>
    <n v="4"/>
    <n v="35"/>
    <n v="19"/>
    <n v="16778"/>
    <n v="12119"/>
    <n v="8293"/>
    <n v="2184"/>
  </r>
  <r>
    <s v="E09000002"/>
    <s v="Barking and Dagenham"/>
    <s v="E12000007"/>
    <x v="4"/>
    <n v="2"/>
    <n v="20"/>
    <n v="12"/>
    <n v="57"/>
    <n v="3751"/>
    <n v="16358"/>
    <n v="30754"/>
    <n v="20451"/>
  </r>
  <r>
    <s v="E09000003"/>
    <s v="Barnet"/>
    <s v="E12000007"/>
    <x v="4"/>
    <n v="8"/>
    <n v="179"/>
    <n v="40"/>
    <n v="34"/>
    <n v="15046"/>
    <n v="40919"/>
    <n v="22155"/>
    <n v="54446"/>
  </r>
  <r>
    <s v="E08000016"/>
    <s v="Barnsley"/>
    <s v="E12000003"/>
    <x v="5"/>
    <n v="0"/>
    <n v="0"/>
    <n v="0"/>
    <n v="0"/>
    <n v="25317"/>
    <n v="49183"/>
    <n v="25178"/>
    <n v="6745"/>
  </r>
  <r>
    <s v="E07000027"/>
    <s v="Barrow-in-Furness"/>
    <s v="E12000002"/>
    <x v="1"/>
    <n v="40"/>
    <n v="8"/>
    <n v="50"/>
    <n v="62"/>
    <n v="4015"/>
    <n v="9721"/>
    <n v="14187"/>
    <n v="2479"/>
  </r>
  <r>
    <s v="E07000066"/>
    <s v="Basildon"/>
    <s v="E12000006"/>
    <x v="3"/>
    <n v="36"/>
    <n v="13"/>
    <n v="30"/>
    <n v="37"/>
    <n v="16660"/>
    <n v="20264"/>
    <n v="24924"/>
    <n v="13183"/>
  </r>
  <r>
    <s v="E07000084"/>
    <s v="Basingstoke and Deane"/>
    <s v="E12000008"/>
    <x v="0"/>
    <n v="81"/>
    <n v="31"/>
    <n v="41"/>
    <n v="49"/>
    <n v="23193"/>
    <n v="19880"/>
    <n v="20736"/>
    <n v="10893"/>
  </r>
  <r>
    <s v="E07000171"/>
    <s v="Bassetlaw"/>
    <s v="E12000004"/>
    <x v="2"/>
    <n v="43"/>
    <n v="5"/>
    <n v="40"/>
    <n v="16"/>
    <n v="18078"/>
    <n v="21301"/>
    <n v="8111"/>
    <n v="2824"/>
  </r>
  <r>
    <s v="E06000022"/>
    <s v="Bath and North East Somerset"/>
    <s v="E12000009"/>
    <x v="6"/>
    <n v="35"/>
    <n v="30"/>
    <n v="51"/>
    <n v="58"/>
    <n v="17678"/>
    <n v="22713"/>
    <n v="21579"/>
    <n v="10672"/>
  </r>
  <r>
    <s v="E06000055"/>
    <s v="Bedford"/>
    <s v="E12000006"/>
    <x v="3"/>
    <n v="52"/>
    <n v="23"/>
    <n v="39"/>
    <n v="35"/>
    <n v="20813"/>
    <n v="24743"/>
    <n v="14941"/>
    <n v="10679"/>
  </r>
  <r>
    <s v="E09000004"/>
    <s v="Bexley"/>
    <s v="E12000007"/>
    <x v="4"/>
    <n v="6"/>
    <n v="33"/>
    <n v="62"/>
    <n v="49"/>
    <n v="7054"/>
    <n v="42154"/>
    <n v="22536"/>
    <n v="20318"/>
  </r>
  <r>
    <s v="E08000025"/>
    <s v="Birmingham"/>
    <s v="E12000005"/>
    <x v="7"/>
    <n v="80"/>
    <n v="140"/>
    <n v="203"/>
    <n v="208"/>
    <n v="47332"/>
    <n v="150608"/>
    <n v="117527"/>
    <n v="88786"/>
  </r>
  <r>
    <s v="E07000129"/>
    <s v="Blaby"/>
    <s v="E12000004"/>
    <x v="2"/>
    <n v="32"/>
    <n v="2"/>
    <n v="27"/>
    <n v="8"/>
    <n v="16122"/>
    <n v="19474"/>
    <n v="4290"/>
    <n v="2089"/>
  </r>
  <r>
    <s v="E06000008"/>
    <s v="Blackburn with Darwen"/>
    <s v="E12000002"/>
    <x v="1"/>
    <n v="33"/>
    <n v="4"/>
    <n v="28"/>
    <n v="54"/>
    <n v="8945"/>
    <n v="17343"/>
    <n v="25507"/>
    <n v="5550"/>
  </r>
  <r>
    <s v="E06000009"/>
    <s v="Blackpool"/>
    <s v="E12000002"/>
    <x v="1"/>
    <n v="14"/>
    <n v="13"/>
    <n v="52"/>
    <n v="46"/>
    <n v="6207"/>
    <n v="25548"/>
    <n v="19105"/>
    <n v="8771"/>
  </r>
  <r>
    <s v="W06000019"/>
    <s v="Blaenau Gwent"/>
    <s v="W92000004"/>
    <x v="8"/>
    <n v="1"/>
    <n v="1"/>
    <n v="7"/>
    <n v="26"/>
    <n v="3610"/>
    <n v="8691"/>
    <n v="15157"/>
    <n v="2268"/>
  </r>
  <r>
    <s v="E07000033"/>
    <s v="Bolsover"/>
    <s v="E12000004"/>
    <x v="2"/>
    <n v="21"/>
    <n v="1"/>
    <n v="27"/>
    <n v="17"/>
    <n v="10298"/>
    <n v="15809"/>
    <n v="7091"/>
    <n v="1542"/>
  </r>
  <r>
    <s v="E08000001"/>
    <s v="Bolton"/>
    <s v="E12000002"/>
    <x v="1"/>
    <n v="44"/>
    <n v="12"/>
    <n v="88"/>
    <n v="84"/>
    <n v="20799"/>
    <n v="42656"/>
    <n v="39464"/>
    <n v="13194"/>
  </r>
  <r>
    <s v="E07000136"/>
    <s v="Boston"/>
    <s v="E12000004"/>
    <x v="2"/>
    <n v="26"/>
    <n v="0"/>
    <n v="9"/>
    <n v="8"/>
    <n v="12566"/>
    <n v="9540"/>
    <n v="3833"/>
    <n v="2726"/>
  </r>
  <r>
    <s v="E06000058"/>
    <s v="Bournemouth, Christchurch and Poole"/>
    <s v="E12000009"/>
    <x v="6"/>
    <n v="124"/>
    <n v="131"/>
    <n v="47"/>
    <n v="39"/>
    <n v="61946"/>
    <n v="30018"/>
    <n v="17150"/>
    <n v="46587"/>
  </r>
  <r>
    <s v="E06000036"/>
    <s v="Bracknell Forest"/>
    <s v="E12000008"/>
    <x v="0"/>
    <n v="34"/>
    <n v="29"/>
    <n v="25"/>
    <n v="29"/>
    <n v="13532"/>
    <n v="10917"/>
    <n v="14477"/>
    <n v="9602"/>
  </r>
  <r>
    <s v="E08000032"/>
    <s v="Bradford"/>
    <s v="E12000003"/>
    <x v="5"/>
    <n v="73"/>
    <n v="63"/>
    <n v="142"/>
    <n v="170"/>
    <n v="30851"/>
    <n v="76995"/>
    <n v="69168"/>
    <n v="24306"/>
  </r>
  <r>
    <s v="E07000067"/>
    <s v="Braintree"/>
    <s v="E12000006"/>
    <x v="3"/>
    <n v="58"/>
    <n v="20"/>
    <n v="40"/>
    <n v="20"/>
    <n v="19060"/>
    <n v="22537"/>
    <n v="14498"/>
    <n v="7317"/>
  </r>
  <r>
    <s v="E07000143"/>
    <s v="Breckland"/>
    <s v="E12000006"/>
    <x v="3"/>
    <n v="59"/>
    <n v="0"/>
    <n v="17"/>
    <n v="26"/>
    <n v="28226"/>
    <n v="17941"/>
    <n v="9687"/>
    <n v="3244"/>
  </r>
  <r>
    <s v="E09000005"/>
    <s v="Brent"/>
    <s v="E12000007"/>
    <x v="4"/>
    <n v="2"/>
    <n v="93"/>
    <n v="19"/>
    <n v="21"/>
    <n v="7142"/>
    <n v="26467"/>
    <n v="17697"/>
    <n v="45086"/>
  </r>
  <r>
    <s v="E07000068"/>
    <s v="Brentwood"/>
    <s v="E12000006"/>
    <x v="3"/>
    <n v="26"/>
    <n v="20"/>
    <n v="23"/>
    <n v="14"/>
    <n v="9815"/>
    <n v="10320"/>
    <n v="4823"/>
    <n v="6006"/>
  </r>
  <r>
    <s v="W06000013"/>
    <s v="Bridgend"/>
    <s v="W92000004"/>
    <x v="8"/>
    <n v="20"/>
    <n v="2"/>
    <n v="37"/>
    <n v="33"/>
    <n v="15839"/>
    <n v="24570"/>
    <n v="15556"/>
    <n v="4899"/>
  </r>
  <r>
    <s v="E06000043"/>
    <s v="Brighton and Hove"/>
    <s v="E12000008"/>
    <x v="0"/>
    <n v="23"/>
    <n v="6"/>
    <n v="29"/>
    <n v="25"/>
    <n v="12541"/>
    <n v="23918"/>
    <n v="24095"/>
    <n v="33449"/>
  </r>
  <r>
    <s v="E06000023"/>
    <s v="Bristol, City of"/>
    <s v="E12000009"/>
    <x v="6"/>
    <n v="22"/>
    <n v="116"/>
    <n v="31"/>
    <n v="73"/>
    <n v="11550"/>
    <n v="51061"/>
    <n v="61440"/>
    <n v="42039"/>
  </r>
  <r>
    <s v="E07000144"/>
    <s v="Broadland"/>
    <s v="E12000006"/>
    <x v="3"/>
    <n v="55"/>
    <n v="8"/>
    <n v="37"/>
    <n v="14"/>
    <n v="26440"/>
    <n v="21802"/>
    <n v="6131"/>
    <n v="2320"/>
  </r>
  <r>
    <s v="E09000006"/>
    <s v="Bromley"/>
    <s v="E12000007"/>
    <x v="4"/>
    <n v="39"/>
    <n v="73"/>
    <n v="58"/>
    <n v="45"/>
    <n v="24563"/>
    <n v="40562"/>
    <n v="27990"/>
    <n v="31895"/>
  </r>
  <r>
    <s v="E07000234"/>
    <s v="Bromsgrove"/>
    <s v="E12000005"/>
    <x v="7"/>
    <n v="22"/>
    <n v="3"/>
    <n v="19"/>
    <n v="13"/>
    <n v="15711"/>
    <n v="14902"/>
    <n v="5878"/>
    <n v="3642"/>
  </r>
  <r>
    <s v="E07000095"/>
    <s v="Broxbourne"/>
    <s v="E12000006"/>
    <x v="3"/>
    <n v="10"/>
    <n v="43"/>
    <n v="25"/>
    <n v="25"/>
    <n v="6102"/>
    <n v="11538"/>
    <n v="11710"/>
    <n v="9189"/>
  </r>
  <r>
    <s v="E07000172"/>
    <s v="Broxtowe"/>
    <s v="E12000004"/>
    <x v="2"/>
    <n v="32"/>
    <n v="5"/>
    <n v="38"/>
    <n v="16"/>
    <n v="17519"/>
    <n v="17392"/>
    <n v="7816"/>
    <n v="4524"/>
  </r>
  <r>
    <s v="E06000060"/>
    <s v="Buckinghamshire"/>
    <s v="E12000008"/>
    <x v="0"/>
    <n v="134"/>
    <n v="103"/>
    <n v="90"/>
    <n v="87"/>
    <n v="75661"/>
    <n v="66450"/>
    <n v="39127"/>
    <n v="31682"/>
  </r>
  <r>
    <s v="E07000117"/>
    <s v="Burnley"/>
    <s v="E12000002"/>
    <x v="1"/>
    <n v="12"/>
    <n v="15"/>
    <n v="28"/>
    <n v="46"/>
    <n v="5650"/>
    <n v="11921"/>
    <n v="18580"/>
    <n v="2788"/>
  </r>
  <r>
    <s v="E08000002"/>
    <s v="Bury"/>
    <s v="E12000002"/>
    <x v="1"/>
    <n v="35"/>
    <n v="6"/>
    <n v="72"/>
    <n v="47"/>
    <n v="15185"/>
    <n v="31115"/>
    <n v="22817"/>
    <n v="9735"/>
  </r>
  <r>
    <s v="W06000018"/>
    <s v="Caerphilly"/>
    <s v="W92000004"/>
    <x v="8"/>
    <n v="18"/>
    <n v="1"/>
    <n v="42"/>
    <n v="41"/>
    <n v="13093"/>
    <n v="30283"/>
    <n v="26464"/>
    <n v="5090"/>
  </r>
  <r>
    <s v="E08000033"/>
    <s v="Calderdale"/>
    <s v="E12000003"/>
    <x v="5"/>
    <n v="35"/>
    <n v="12"/>
    <n v="53"/>
    <n v="78"/>
    <n v="13730"/>
    <n v="25842"/>
    <n v="37356"/>
    <n v="9813"/>
  </r>
  <r>
    <s v="E07000008"/>
    <s v="Cambridge"/>
    <s v="E12000006"/>
    <x v="3"/>
    <n v="5"/>
    <n v="25"/>
    <n v="19"/>
    <n v="37"/>
    <n v="5700"/>
    <n v="13843"/>
    <n v="14478"/>
    <n v="16107"/>
  </r>
  <r>
    <s v="E09000007"/>
    <s v="Camden"/>
    <s v="E12000007"/>
    <x v="4"/>
    <n v="1"/>
    <n v="108"/>
    <n v="5"/>
    <n v="16"/>
    <n v="1584"/>
    <n v="3294"/>
    <n v="7504"/>
    <n v="52159"/>
  </r>
  <r>
    <s v="E07000192"/>
    <s v="Cannock Chase"/>
    <s v="E12000005"/>
    <x v="7"/>
    <n v="28"/>
    <n v="1"/>
    <n v="28"/>
    <n v="16"/>
    <n v="13006"/>
    <n v="20293"/>
    <n v="5183"/>
    <n v="4092"/>
  </r>
  <r>
    <s v="E07000106"/>
    <s v="Canterbury"/>
    <s v="E12000008"/>
    <x v="0"/>
    <n v="48"/>
    <n v="14"/>
    <n v="49"/>
    <n v="26"/>
    <n v="20082"/>
    <n v="19750"/>
    <n v="11055"/>
    <n v="8925"/>
  </r>
  <r>
    <s v="W06000015"/>
    <s v="Cardiff"/>
    <s v="W92000004"/>
    <x v="8"/>
    <n v="0"/>
    <n v="0"/>
    <n v="0"/>
    <n v="0"/>
    <n v="20772"/>
    <n v="43709"/>
    <n v="43617"/>
    <n v="29755"/>
  </r>
  <r>
    <s v="E07000028"/>
    <s v="Carlisle"/>
    <s v="E12000002"/>
    <x v="1"/>
    <n v="22"/>
    <n v="69"/>
    <n v="62"/>
    <n v="88"/>
    <n v="12643"/>
    <n v="18558"/>
    <n v="13638"/>
    <n v="4268"/>
  </r>
  <r>
    <s v="W06000010"/>
    <s v="Carmarthenshire"/>
    <s v="W92000004"/>
    <x v="8"/>
    <n v="49"/>
    <n v="4"/>
    <n v="38"/>
    <n v="27"/>
    <n v="32928"/>
    <n v="27390"/>
    <n v="15352"/>
    <n v="3802"/>
  </r>
  <r>
    <s v="E07000069"/>
    <s v="Castle Point"/>
    <s v="E12000006"/>
    <x v="3"/>
    <n v="29"/>
    <n v="2"/>
    <n v="19"/>
    <n v="4"/>
    <n v="15580"/>
    <n v="14257"/>
    <n v="2842"/>
    <n v="2866"/>
  </r>
  <r>
    <s v="E06000056"/>
    <s v="Central Bedfordshire"/>
    <s v="E12000006"/>
    <x v="3"/>
    <n v="81"/>
    <n v="28"/>
    <n v="106"/>
    <n v="73"/>
    <n v="35355"/>
    <n v="41573"/>
    <n v="28303"/>
    <n v="12296"/>
  </r>
  <r>
    <s v="W06000008"/>
    <s v="Ceredigion"/>
    <s v="W92000004"/>
    <x v="8"/>
    <n v="15"/>
    <n v="3"/>
    <n v="6"/>
    <n v="8"/>
    <n v="15661"/>
    <n v="7146"/>
    <n v="4342"/>
    <n v="1986"/>
  </r>
  <r>
    <s v="E07000130"/>
    <s v="Charnwood"/>
    <s v="E12000004"/>
    <x v="2"/>
    <n v="59"/>
    <n v="16"/>
    <n v="62"/>
    <n v="28"/>
    <n v="23765"/>
    <n v="28527"/>
    <n v="13215"/>
    <n v="6364"/>
  </r>
  <r>
    <s v="E07000070"/>
    <s v="Chelmsford"/>
    <s v="E12000006"/>
    <x v="3"/>
    <n v="52"/>
    <n v="27"/>
    <n v="42"/>
    <n v="21"/>
    <n v="22310"/>
    <n v="23467"/>
    <n v="14117"/>
    <n v="13380"/>
  </r>
  <r>
    <s v="E07000078"/>
    <s v="Cheltenham"/>
    <s v="E12000009"/>
    <x v="6"/>
    <n v="22"/>
    <n v="38"/>
    <n v="32"/>
    <n v="41"/>
    <n v="9690"/>
    <n v="17599"/>
    <n v="11108"/>
    <n v="10148"/>
  </r>
  <r>
    <s v="E07000177"/>
    <s v="Cherwell"/>
    <s v="E12000008"/>
    <x v="0"/>
    <n v="37"/>
    <n v="8"/>
    <n v="87"/>
    <n v="43"/>
    <n v="20046"/>
    <n v="23194"/>
    <n v="14268"/>
    <n v="6408"/>
  </r>
  <r>
    <s v="E06000049"/>
    <s v="Cheshire East"/>
    <s v="E12000002"/>
    <x v="1"/>
    <n v="177"/>
    <n v="32"/>
    <n v="144"/>
    <n v="86"/>
    <n v="63928"/>
    <n v="56799"/>
    <n v="34980"/>
    <n v="14284"/>
  </r>
  <r>
    <s v="E06000050"/>
    <s v="Cheshire West and Chester"/>
    <s v="E12000002"/>
    <x v="1"/>
    <n v="91"/>
    <n v="26"/>
    <n v="120"/>
    <n v="69"/>
    <n v="47457"/>
    <n v="56297"/>
    <n v="31924"/>
    <n v="15140"/>
  </r>
  <r>
    <s v="E07000034"/>
    <s v="Chesterfield"/>
    <s v="E12000004"/>
    <x v="2"/>
    <n v="22"/>
    <n v="10"/>
    <n v="31"/>
    <n v="27"/>
    <n v="11874"/>
    <n v="21594"/>
    <n v="8564"/>
    <n v="4885"/>
  </r>
  <r>
    <s v="E07000225"/>
    <s v="Chichester"/>
    <s v="E12000008"/>
    <x v="0"/>
    <n v="42"/>
    <n v="9"/>
    <n v="18"/>
    <n v="28"/>
    <n v="19290"/>
    <n v="15378"/>
    <n v="9973"/>
    <n v="6993"/>
  </r>
  <r>
    <s v="E07000118"/>
    <s v="Chorley"/>
    <s v="E12000002"/>
    <x v="1"/>
    <n v="54"/>
    <n v="15"/>
    <n v="88"/>
    <n v="41"/>
    <n v="16018"/>
    <n v="16548"/>
    <n v="12683"/>
    <n v="3931"/>
  </r>
  <r>
    <s v="E09000001"/>
    <s v="City of London"/>
    <s v="E12000007"/>
    <x v="4"/>
    <n v="14"/>
    <n v="15"/>
    <n v="54"/>
    <n v="124"/>
    <n v="7"/>
    <n v="15"/>
    <n v="78"/>
    <n v="4273"/>
  </r>
  <r>
    <s v="E07000071"/>
    <s v="Colchester"/>
    <s v="E12000006"/>
    <x v="3"/>
    <n v="0"/>
    <n v="4"/>
    <n v="0"/>
    <n v="1"/>
    <n v="24439"/>
    <n v="24512"/>
    <n v="14398"/>
    <n v="14157"/>
  </r>
  <r>
    <s v="W06000003"/>
    <s v="Conwy"/>
    <s v="W92000004"/>
    <x v="8"/>
    <n v="0"/>
    <n v="0"/>
    <n v="0"/>
    <n v="0"/>
    <n v="18928"/>
    <n v="16541"/>
    <n v="7381"/>
    <n v="5947"/>
  </r>
  <r>
    <s v="E07000029"/>
    <s v="Copeland"/>
    <s v="E12000002"/>
    <x v="1"/>
    <n v="34"/>
    <n v="41"/>
    <n v="57"/>
    <n v="74"/>
    <n v="7572"/>
    <n v="11829"/>
    <n v="9096"/>
    <n v="1413"/>
  </r>
  <r>
    <s v="E06000052"/>
    <s v="Cornwall"/>
    <s v="E12000009"/>
    <x v="6"/>
    <n v="51"/>
    <n v="11"/>
    <n v="36"/>
    <n v="35"/>
    <n v="93105"/>
    <n v="66437"/>
    <n v="54967"/>
    <n v="20842"/>
  </r>
  <r>
    <s v="E07000079"/>
    <s v="Cotswold"/>
    <s v="E12000009"/>
    <x v="6"/>
    <n v="1"/>
    <n v="171"/>
    <n v="2"/>
    <n v="18"/>
    <n v="15135"/>
    <n v="12523"/>
    <n v="8099"/>
    <n v="3365"/>
  </r>
  <r>
    <s v="E06000047"/>
    <s v="County Durham"/>
    <s v="E12000001"/>
    <x v="9"/>
    <n v="49"/>
    <n v="28"/>
    <n v="49"/>
    <n v="36"/>
    <n v="48799"/>
    <n v="89775"/>
    <n v="83017"/>
    <n v="9623"/>
  </r>
  <r>
    <s v="E08000026"/>
    <s v="Coventry"/>
    <s v="E12000005"/>
    <x v="7"/>
    <n v="0"/>
    <n v="0"/>
    <n v="0"/>
    <n v="0"/>
    <n v="15498"/>
    <n v="40312"/>
    <n v="53515"/>
    <n v="21079"/>
  </r>
  <r>
    <s v="E07000163"/>
    <s v="Craven"/>
    <s v="E12000003"/>
    <x v="5"/>
    <n v="50"/>
    <n v="17"/>
    <n v="23"/>
    <n v="17"/>
    <n v="6724"/>
    <n v="7563"/>
    <n v="8936"/>
    <n v="1298"/>
  </r>
  <r>
    <s v="E07000226"/>
    <s v="Crawley"/>
    <s v="E12000008"/>
    <x v="0"/>
    <n v="223"/>
    <n v="135"/>
    <n v="104"/>
    <n v="157"/>
    <n v="6480"/>
    <n v="10322"/>
    <n v="17014"/>
    <n v="10807"/>
  </r>
  <r>
    <s v="E09000008"/>
    <s v="Croydon"/>
    <s v="E12000007"/>
    <x v="4"/>
    <n v="111"/>
    <n v="8"/>
    <n v="141"/>
    <n v="207"/>
    <n v="18714"/>
    <n v="37841"/>
    <n v="35580"/>
    <n v="44285"/>
  </r>
  <r>
    <s v="E07000096"/>
    <s v="Dacorum"/>
    <s v="E12000006"/>
    <x v="3"/>
    <n v="26"/>
    <n v="31"/>
    <n v="53"/>
    <n v="98"/>
    <n v="13526"/>
    <n v="15876"/>
    <n v="18918"/>
    <n v="13086"/>
  </r>
  <r>
    <s v="E06000005"/>
    <s v="Darlington"/>
    <s v="E12000001"/>
    <x v="9"/>
    <n v="5"/>
    <n v="12"/>
    <n v="11"/>
    <n v="24"/>
    <n v="9331"/>
    <n v="19148"/>
    <n v="13937"/>
    <n v="5271"/>
  </r>
  <r>
    <s v="E07000107"/>
    <s v="Dartford"/>
    <s v="E12000008"/>
    <x v="0"/>
    <n v="27"/>
    <n v="96"/>
    <n v="39"/>
    <n v="74"/>
    <n v="6025"/>
    <n v="14398"/>
    <n v="14103"/>
    <n v="9762"/>
  </r>
  <r>
    <s v="W06000004"/>
    <s v="Denbighshire"/>
    <s v="W92000004"/>
    <x v="8"/>
    <n v="71"/>
    <n v="20"/>
    <n v="81"/>
    <n v="101"/>
    <n v="18520"/>
    <n v="13551"/>
    <n v="5433"/>
    <n v="3111"/>
  </r>
  <r>
    <s v="E06000015"/>
    <s v="Derby"/>
    <s v="E12000004"/>
    <x v="2"/>
    <n v="28"/>
    <n v="22"/>
    <n v="40"/>
    <n v="41"/>
    <n v="25428"/>
    <n v="41273"/>
    <n v="23082"/>
    <n v="12936"/>
  </r>
  <r>
    <s v="E07000035"/>
    <s v="Derbyshire Dales"/>
    <s v="E12000004"/>
    <x v="2"/>
    <n v="23"/>
    <n v="5"/>
    <n v="27"/>
    <n v="40"/>
    <n v="13376"/>
    <n v="10185"/>
    <n v="5689"/>
    <n v="1988"/>
  </r>
  <r>
    <s v="E08000017"/>
    <s v="Doncaster"/>
    <s v="E12000003"/>
    <x v="5"/>
    <n v="15"/>
    <n v="36"/>
    <n v="24"/>
    <n v="52"/>
    <n v="32223"/>
    <n v="60700"/>
    <n v="28207"/>
    <n v="8534"/>
  </r>
  <r>
    <s v="E06000059"/>
    <s v="Dorset"/>
    <s v="E12000009"/>
    <x v="6"/>
    <n v="43"/>
    <n v="1"/>
    <n v="21"/>
    <n v="14"/>
    <n v="68763"/>
    <n v="39588"/>
    <n v="32748"/>
    <n v="19578"/>
  </r>
  <r>
    <s v="E07000108"/>
    <s v="Dover"/>
    <s v="E12000008"/>
    <x v="0"/>
    <n v="29"/>
    <n v="3"/>
    <n v="17"/>
    <n v="18"/>
    <n v="11828"/>
    <n v="15695"/>
    <n v="14112"/>
    <n v="6180"/>
  </r>
  <r>
    <s v="E08000027"/>
    <s v="Dudley"/>
    <s v="E12000005"/>
    <x v="7"/>
    <n v="64"/>
    <n v="12"/>
    <n v="121"/>
    <n v="80"/>
    <n v="29595"/>
    <n v="66305"/>
    <n v="21158"/>
    <n v="16425"/>
  </r>
  <r>
    <s v="E09000009"/>
    <s v="Ealing"/>
    <s v="E12000007"/>
    <x v="4"/>
    <n v="172"/>
    <n v="102"/>
    <n v="82"/>
    <n v="115"/>
    <n v="6798"/>
    <n v="29225"/>
    <n v="31261"/>
    <n v="46120"/>
  </r>
  <r>
    <s v="E07000009"/>
    <s v="East Cambridgeshire"/>
    <s v="E12000006"/>
    <x v="3"/>
    <n v="33"/>
    <n v="17"/>
    <n v="21"/>
    <n v="38"/>
    <n v="15623"/>
    <n v="11946"/>
    <n v="6302"/>
    <n v="2232"/>
  </r>
  <r>
    <s v="E07000040"/>
    <s v="East Devon"/>
    <s v="E12000009"/>
    <x v="6"/>
    <n v="42"/>
    <n v="18"/>
    <n v="68"/>
    <n v="43"/>
    <n v="25712"/>
    <n v="18114"/>
    <n v="12997"/>
    <n v="6069"/>
  </r>
  <r>
    <s v="E07000085"/>
    <s v="East Hampshire"/>
    <s v="E12000008"/>
    <x v="0"/>
    <n v="9"/>
    <n v="161"/>
    <n v="27"/>
    <n v="42"/>
    <n v="22023"/>
    <n v="13606"/>
    <n v="9185"/>
    <n v="6205"/>
  </r>
  <r>
    <s v="E07000242"/>
    <s v="East Hertfordshire"/>
    <s v="E12000006"/>
    <x v="3"/>
    <n v="30"/>
    <n v="3"/>
    <n v="21"/>
    <n v="17"/>
    <n v="17112"/>
    <n v="18799"/>
    <n v="13467"/>
    <n v="10622"/>
  </r>
  <r>
    <s v="E07000137"/>
    <s v="East Lindsey"/>
    <s v="E12000004"/>
    <x v="2"/>
    <n v="62"/>
    <n v="15"/>
    <n v="46"/>
    <n v="35"/>
    <n v="32593"/>
    <n v="17833"/>
    <n v="7114"/>
    <n v="3673"/>
  </r>
  <r>
    <s v="E06000011"/>
    <s v="East Riding of Yorkshire"/>
    <s v="E12000003"/>
    <x v="5"/>
    <n v="47"/>
    <n v="23"/>
    <n v="25"/>
    <n v="19"/>
    <n v="53673"/>
    <n v="55372"/>
    <n v="28943"/>
    <n v="9684"/>
  </r>
  <r>
    <s v="E07000193"/>
    <s v="East Staffordshire"/>
    <s v="E12000005"/>
    <x v="7"/>
    <n v="24"/>
    <n v="32"/>
    <n v="33"/>
    <n v="50"/>
    <n v="16885"/>
    <n v="16661"/>
    <n v="11542"/>
    <n v="4917"/>
  </r>
  <r>
    <s v="E07000244"/>
    <s v="East Suffolk"/>
    <s v="E12000006"/>
    <x v="3"/>
    <n v="67"/>
    <n v="3"/>
    <n v="38"/>
    <n v="22"/>
    <n v="43732"/>
    <n v="32076"/>
    <n v="23105"/>
    <n v="7704"/>
  </r>
  <r>
    <s v="E07000061"/>
    <s v="Eastbourne"/>
    <s v="E12000008"/>
    <x v="0"/>
    <n v="114"/>
    <n v="16"/>
    <n v="116"/>
    <n v="66"/>
    <n v="7630"/>
    <n v="9908"/>
    <n v="10879"/>
    <n v="12395"/>
  </r>
  <r>
    <s v="E07000086"/>
    <s v="Eastleigh"/>
    <s v="E12000008"/>
    <x v="0"/>
    <n v="0"/>
    <n v="0"/>
    <n v="0"/>
    <n v="0"/>
    <n v="18973"/>
    <n v="16190"/>
    <n v="12123"/>
    <n v="8044"/>
  </r>
  <r>
    <s v="E07000030"/>
    <s v="Eden"/>
    <s v="E12000002"/>
    <x v="1"/>
    <n v="48"/>
    <n v="9"/>
    <n v="43"/>
    <n v="35"/>
    <n v="9642"/>
    <n v="7623"/>
    <n v="4845"/>
    <n v="1589"/>
  </r>
  <r>
    <s v="E07000207"/>
    <s v="Elmbridge"/>
    <s v="E12000008"/>
    <x v="0"/>
    <n v="112"/>
    <n v="19"/>
    <n v="60"/>
    <n v="62"/>
    <n v="18146"/>
    <n v="14384"/>
    <n v="9232"/>
    <n v="11500"/>
  </r>
  <r>
    <s v="E09000010"/>
    <s v="Enfield"/>
    <s v="E12000007"/>
    <x v="4"/>
    <n v="16"/>
    <n v="41"/>
    <n v="23"/>
    <n v="18"/>
    <n v="9059"/>
    <n v="29986"/>
    <n v="34911"/>
    <n v="36776"/>
  </r>
  <r>
    <s v="E07000072"/>
    <s v="Epping Forest"/>
    <s v="E12000006"/>
    <x v="3"/>
    <n v="33"/>
    <n v="29"/>
    <n v="24"/>
    <n v="28"/>
    <n v="12611"/>
    <n v="17711"/>
    <n v="11716"/>
    <n v="10448"/>
  </r>
  <r>
    <s v="E07000208"/>
    <s v="Epsom and Ewell"/>
    <s v="E12000008"/>
    <x v="0"/>
    <n v="27"/>
    <n v="43"/>
    <n v="24"/>
    <n v="13"/>
    <n v="8273"/>
    <n v="10935"/>
    <n v="4144"/>
    <n v="6546"/>
  </r>
  <r>
    <s v="E07000036"/>
    <s v="Erewash"/>
    <s v="E12000004"/>
    <x v="2"/>
    <n v="4"/>
    <n v="55"/>
    <n v="30"/>
    <n v="70"/>
    <n v="14528"/>
    <n v="22457"/>
    <n v="9087"/>
    <n v="2970"/>
  </r>
  <r>
    <s v="E07000041"/>
    <s v="Exeter"/>
    <s v="E12000009"/>
    <x v="6"/>
    <n v="26"/>
    <n v="30"/>
    <n v="33"/>
    <n v="34"/>
    <n v="7943"/>
    <n v="14140"/>
    <n v="16458"/>
    <n v="10306"/>
  </r>
  <r>
    <s v="E07000087"/>
    <s v="Fareham"/>
    <s v="E12000008"/>
    <x v="0"/>
    <n v="5"/>
    <n v="12"/>
    <n v="6"/>
    <n v="8"/>
    <n v="17497"/>
    <n v="15670"/>
    <n v="8909"/>
    <n v="5547"/>
  </r>
  <r>
    <s v="E07000010"/>
    <s v="Fenland"/>
    <s v="E12000006"/>
    <x v="3"/>
    <n v="29"/>
    <n v="5"/>
    <n v="35"/>
    <n v="30"/>
    <n v="20154"/>
    <n v="13187"/>
    <n v="6316"/>
    <n v="3126"/>
  </r>
  <r>
    <s v="W06000005"/>
    <s v="Flintshire"/>
    <s v="W92000004"/>
    <x v="8"/>
    <n v="15"/>
    <n v="19"/>
    <n v="25"/>
    <n v="33"/>
    <n v="25985"/>
    <n v="27073"/>
    <n v="9019"/>
    <n v="3488"/>
  </r>
  <r>
    <s v="E07000112"/>
    <s v="Folkestone and Hythe"/>
    <s v="E12000008"/>
    <x v="0"/>
    <n v="26"/>
    <n v="11"/>
    <n v="24"/>
    <n v="21"/>
    <n v="13262"/>
    <n v="12566"/>
    <n v="10438"/>
    <n v="7268"/>
  </r>
  <r>
    <s v="E07000080"/>
    <s v="Forest of Dean"/>
    <s v="E12000009"/>
    <x v="6"/>
    <n v="32"/>
    <n v="10"/>
    <n v="26"/>
    <n v="17"/>
    <n v="16649"/>
    <n v="12702"/>
    <n v="4983"/>
    <n v="1654"/>
  </r>
  <r>
    <s v="E07000119"/>
    <s v="Fylde"/>
    <s v="E12000002"/>
    <x v="1"/>
    <n v="40"/>
    <n v="4"/>
    <n v="52"/>
    <n v="19"/>
    <n v="11067"/>
    <n v="12061"/>
    <n v="6262"/>
    <n v="5231"/>
  </r>
  <r>
    <s v="E08000037"/>
    <s v="Gateshead"/>
    <s v="E12000001"/>
    <x v="9"/>
    <n v="31"/>
    <n v="28"/>
    <n v="38"/>
    <n v="28"/>
    <n v="10364"/>
    <n v="38460"/>
    <n v="22239"/>
    <n v="14652"/>
  </r>
  <r>
    <s v="E07000173"/>
    <s v="Gedling"/>
    <s v="E12000004"/>
    <x v="2"/>
    <n v="30"/>
    <n v="4"/>
    <n v="16"/>
    <n v="13"/>
    <n v="20119"/>
    <n v="17741"/>
    <n v="7672"/>
    <n v="4902"/>
  </r>
  <r>
    <s v="E07000081"/>
    <s v="Gloucester"/>
    <s v="E12000009"/>
    <x v="6"/>
    <n v="32"/>
    <n v="30"/>
    <n v="60"/>
    <n v="63"/>
    <n v="11646"/>
    <n v="21950"/>
    <n v="11475"/>
    <n v="8118"/>
  </r>
  <r>
    <s v="E07000088"/>
    <s v="Gosport"/>
    <s v="E12000008"/>
    <x v="0"/>
    <n v="13"/>
    <n v="14"/>
    <n v="32"/>
    <n v="30"/>
    <n v="4824"/>
    <n v="9877"/>
    <n v="12601"/>
    <n v="7317"/>
  </r>
  <r>
    <s v="E07000109"/>
    <s v="Gravesham"/>
    <s v="E12000008"/>
    <x v="0"/>
    <n v="1"/>
    <n v="0"/>
    <n v="0"/>
    <n v="0"/>
    <n v="6837"/>
    <n v="13799"/>
    <n v="12511"/>
    <n v="6745"/>
  </r>
  <r>
    <s v="E07000145"/>
    <s v="Great Yarmouth"/>
    <s v="E12000006"/>
    <x v="3"/>
    <n v="6"/>
    <n v="15"/>
    <n v="12"/>
    <n v="31"/>
    <n v="13479"/>
    <n v="10908"/>
    <n v="12613"/>
    <n v="5155"/>
  </r>
  <r>
    <s v="E09000011"/>
    <s v="Greenwich"/>
    <s v="E12000007"/>
    <x v="4"/>
    <n v="8"/>
    <n v="10"/>
    <n v="19"/>
    <n v="31"/>
    <n v="4656"/>
    <n v="20106"/>
    <n v="30419"/>
    <n v="49157"/>
  </r>
  <r>
    <s v="E07000209"/>
    <s v="Guildford"/>
    <s v="E12000008"/>
    <x v="0"/>
    <n v="23"/>
    <n v="4"/>
    <n v="22"/>
    <n v="35"/>
    <n v="18664"/>
    <n v="18188"/>
    <n v="7588"/>
    <n v="8404"/>
  </r>
  <r>
    <s v="W06000002"/>
    <s v="Gwynedd"/>
    <s v="W92000004"/>
    <x v="8"/>
    <n v="2"/>
    <n v="117"/>
    <n v="20"/>
    <n v="57"/>
    <n v="17732"/>
    <n v="12980"/>
    <n v="15300"/>
    <n v="3098"/>
  </r>
  <r>
    <s v="E09000012"/>
    <s v="Hackney"/>
    <s v="E12000007"/>
    <x v="4"/>
    <n v="24"/>
    <n v="11"/>
    <n v="27"/>
    <n v="17"/>
    <n v="1433"/>
    <n v="3816"/>
    <n v="14729"/>
    <n v="64067"/>
  </r>
  <r>
    <s v="E06000006"/>
    <s v="Halton"/>
    <s v="E12000002"/>
    <x v="1"/>
    <n v="0"/>
    <n v="0"/>
    <n v="0"/>
    <n v="0"/>
    <n v="11746"/>
    <n v="19285"/>
    <n v="18675"/>
    <n v="5317"/>
  </r>
  <r>
    <s v="E07000164"/>
    <s v="Hambleton"/>
    <s v="E12000003"/>
    <x v="5"/>
    <n v="25"/>
    <n v="6"/>
    <n v="14"/>
    <n v="30"/>
    <n v="17377"/>
    <n v="12527"/>
    <n v="7817"/>
    <n v="2138"/>
  </r>
  <r>
    <s v="E09000013"/>
    <s v="Hammersmith and Fulham"/>
    <s v="E12000007"/>
    <x v="4"/>
    <n v="1"/>
    <n v="83"/>
    <n v="2"/>
    <n v="21"/>
    <n v="933"/>
    <n v="3790"/>
    <n v="15280"/>
    <n v="39074"/>
  </r>
  <r>
    <s v="E07000131"/>
    <s v="Harborough"/>
    <s v="E12000004"/>
    <x v="2"/>
    <n v="43"/>
    <n v="20"/>
    <n v="16"/>
    <n v="41"/>
    <n v="19739"/>
    <n v="11794"/>
    <n v="5815"/>
    <n v="2237"/>
  </r>
  <r>
    <s v="E09000014"/>
    <s v="Haringey"/>
    <s v="E12000007"/>
    <x v="4"/>
    <n v="0"/>
    <n v="121"/>
    <n v="4"/>
    <n v="25"/>
    <n v="4057"/>
    <n v="9899"/>
    <n v="26896"/>
    <n v="37181"/>
  </r>
  <r>
    <s v="E07000073"/>
    <s v="Harlow"/>
    <s v="E12000006"/>
    <x v="3"/>
    <n v="0"/>
    <n v="0"/>
    <n v="0"/>
    <n v="0"/>
    <n v="3863"/>
    <n v="6551"/>
    <n v="17166"/>
    <n v="9466"/>
  </r>
  <r>
    <s v="E07000165"/>
    <s v="Harrogate"/>
    <s v="E12000003"/>
    <x v="5"/>
    <n v="38"/>
    <n v="8"/>
    <n v="21"/>
    <n v="19"/>
    <n v="22880"/>
    <n v="21976"/>
    <n v="13760"/>
    <n v="7208"/>
  </r>
  <r>
    <s v="E09000015"/>
    <s v="Harrow"/>
    <s v="E12000007"/>
    <x v="4"/>
    <n v="2"/>
    <n v="85"/>
    <n v="8"/>
    <n v="50"/>
    <n v="10174"/>
    <n v="33281"/>
    <n v="15136"/>
    <n v="23528"/>
  </r>
  <r>
    <s v="E07000089"/>
    <s v="Hart"/>
    <s v="E12000008"/>
    <x v="0"/>
    <n v="4"/>
    <n v="13"/>
    <n v="13"/>
    <n v="27"/>
    <n v="16982"/>
    <n v="10238"/>
    <n v="7273"/>
    <n v="4496"/>
  </r>
  <r>
    <s v="E06000001"/>
    <s v="Hartlepool"/>
    <s v="E12000001"/>
    <x v="9"/>
    <n v="15"/>
    <n v="61"/>
    <n v="25"/>
    <n v="27"/>
    <n v="8086"/>
    <n v="14537"/>
    <n v="13469"/>
    <n v="3995"/>
  </r>
  <r>
    <s v="E07000062"/>
    <s v="Hastings"/>
    <s v="E12000008"/>
    <x v="0"/>
    <n v="24"/>
    <n v="11"/>
    <n v="26"/>
    <n v="14"/>
    <n v="7732"/>
    <n v="8836"/>
    <n v="9155"/>
    <n v="8074"/>
  </r>
  <r>
    <s v="E07000090"/>
    <s v="Havant"/>
    <s v="E12000008"/>
    <x v="0"/>
    <n v="32"/>
    <n v="1"/>
    <n v="28"/>
    <n v="40"/>
    <n v="15181"/>
    <n v="15840"/>
    <n v="12241"/>
    <n v="8806"/>
  </r>
  <r>
    <s v="E09000016"/>
    <s v="Havering"/>
    <s v="E12000007"/>
    <x v="4"/>
    <n v="0"/>
    <n v="0"/>
    <n v="0"/>
    <n v="0"/>
    <n v="11276"/>
    <n v="41729"/>
    <n v="24643"/>
    <n v="20101"/>
  </r>
  <r>
    <s v="E06000019"/>
    <s v="Herefordshire, County of"/>
    <s v="E12000005"/>
    <x v="7"/>
    <n v="22"/>
    <n v="18"/>
    <n v="25"/>
    <n v="16"/>
    <n v="35100"/>
    <n v="23379"/>
    <n v="13535"/>
    <n v="6949"/>
  </r>
  <r>
    <s v="E07000098"/>
    <s v="Hertsmere"/>
    <s v="E12000006"/>
    <x v="3"/>
    <n v="21"/>
    <n v="25"/>
    <n v="64"/>
    <n v="57"/>
    <n v="7985"/>
    <n v="13839"/>
    <n v="8700"/>
    <n v="10576"/>
  </r>
  <r>
    <s v="E07000037"/>
    <s v="High Peak"/>
    <s v="E12000004"/>
    <x v="2"/>
    <n v="57"/>
    <n v="8"/>
    <n v="49"/>
    <n v="39"/>
    <n v="9765"/>
    <n v="12469"/>
    <n v="13482"/>
    <n v="2993"/>
  </r>
  <r>
    <s v="E09000017"/>
    <s v="Hillingdon"/>
    <s v="E12000007"/>
    <x v="4"/>
    <n v="18"/>
    <n v="14"/>
    <n v="32"/>
    <n v="11"/>
    <n v="15182"/>
    <n v="38338"/>
    <n v="21773"/>
    <n v="28585"/>
  </r>
  <r>
    <s v="E07000132"/>
    <s v="Hinckley and Bosworth"/>
    <s v="E12000004"/>
    <x v="2"/>
    <n v="17"/>
    <n v="9"/>
    <n v="26"/>
    <n v="34"/>
    <n v="18712"/>
    <n v="18659"/>
    <n v="7741"/>
    <n v="3299"/>
  </r>
  <r>
    <s v="E07000227"/>
    <s v="Horsham"/>
    <s v="E12000008"/>
    <x v="0"/>
    <n v="26"/>
    <n v="55"/>
    <n v="52"/>
    <n v="36"/>
    <n v="23201"/>
    <n v="16747"/>
    <n v="10659"/>
    <n v="9723"/>
  </r>
  <r>
    <s v="E09000018"/>
    <s v="Hounslow"/>
    <s v="E12000007"/>
    <x v="4"/>
    <n v="44"/>
    <n v="8"/>
    <n v="33"/>
    <n v="13"/>
    <n v="5022"/>
    <n v="29477"/>
    <n v="21123"/>
    <n v="38538"/>
  </r>
  <r>
    <s v="E07000011"/>
    <s v="Huntingdonshire"/>
    <s v="E12000006"/>
    <x v="3"/>
    <n v="55"/>
    <n v="17"/>
    <n v="27"/>
    <n v="21"/>
    <n v="30548"/>
    <n v="23248"/>
    <n v="13860"/>
    <n v="7027"/>
  </r>
  <r>
    <s v="E07000120"/>
    <s v="Hyndburn"/>
    <s v="E12000002"/>
    <x v="1"/>
    <n v="3"/>
    <n v="74"/>
    <n v="34"/>
    <n v="39"/>
    <n v="4409"/>
    <n v="9518"/>
    <n v="17536"/>
    <n v="2563"/>
  </r>
  <r>
    <s v="E07000202"/>
    <s v="Ipswich"/>
    <s v="E12000006"/>
    <x v="3"/>
    <n v="70"/>
    <n v="17"/>
    <n v="62"/>
    <n v="32"/>
    <n v="8429"/>
    <n v="22907"/>
    <n v="13267"/>
    <n v="12311"/>
  </r>
  <r>
    <s v="W06000001"/>
    <s v="Isle of Anglesey"/>
    <s v="W92000004"/>
    <x v="8"/>
    <n v="10"/>
    <n v="0"/>
    <n v="14"/>
    <n v="46"/>
    <n v="14623"/>
    <n v="7051"/>
    <n v="6827"/>
    <n v="1423"/>
  </r>
  <r>
    <s v="E06000046"/>
    <s v="Isle of Wight"/>
    <s v="E12000008"/>
    <x v="0"/>
    <n v="11"/>
    <n v="16"/>
    <n v="31"/>
    <n v="26"/>
    <n v="22024"/>
    <n v="19076"/>
    <n v="9877"/>
    <n v="8572"/>
  </r>
  <r>
    <s v="E06000053"/>
    <s v="Isles of Scilly"/>
    <s v="E12000009"/>
    <x v="6"/>
    <n v="27"/>
    <n v="2"/>
    <n v="12"/>
    <n v="18"/>
    <n v="321"/>
    <n v="220"/>
    <n v="166"/>
    <n v="77"/>
  </r>
  <r>
    <s v="E09000019"/>
    <s v="Islington"/>
    <s v="E12000007"/>
    <x v="4"/>
    <n v="42"/>
    <n v="26"/>
    <n v="29"/>
    <n v="25"/>
    <n v="826"/>
    <n v="2639"/>
    <n v="12265"/>
    <n v="55352"/>
  </r>
  <r>
    <s v="E09000020"/>
    <s v="Kensington and Chelsea"/>
    <s v="E12000007"/>
    <x v="4"/>
    <n v="0"/>
    <n v="0"/>
    <n v="0"/>
    <n v="2"/>
    <n v="767"/>
    <n v="2064"/>
    <n v="8561"/>
    <n v="37911"/>
  </r>
  <r>
    <s v="E07000146"/>
    <s v="King's Lynn and West Norfolk"/>
    <s v="E12000006"/>
    <x v="3"/>
    <n v="16"/>
    <n v="101"/>
    <n v="82"/>
    <n v="172"/>
    <n v="29872"/>
    <n v="21161"/>
    <n v="9652"/>
    <n v="4793"/>
  </r>
  <r>
    <s v="E06000010"/>
    <s v="Kingston upon Hull, City of"/>
    <s v="E12000003"/>
    <x v="5"/>
    <n v="0"/>
    <n v="105"/>
    <n v="1"/>
    <n v="8"/>
    <n v="9676"/>
    <n v="33932"/>
    <n v="53953"/>
    <n v="13165"/>
  </r>
  <r>
    <s v="E09000021"/>
    <s v="Kingston upon Thames"/>
    <s v="E12000007"/>
    <x v="4"/>
    <n v="1"/>
    <n v="97"/>
    <n v="3"/>
    <n v="18"/>
    <n v="8284"/>
    <n v="20797"/>
    <n v="11300"/>
    <n v="19535"/>
  </r>
  <r>
    <s v="E08000034"/>
    <s v="Kirklees"/>
    <s v="E12000003"/>
    <x v="5"/>
    <n v="69"/>
    <n v="2"/>
    <n v="47"/>
    <n v="36"/>
    <n v="38467"/>
    <n v="60938"/>
    <n v="55986"/>
    <n v="17060"/>
  </r>
  <r>
    <s v="E08000011"/>
    <s v="Knowsley"/>
    <s v="E12000002"/>
    <x v="1"/>
    <n v="11"/>
    <n v="49"/>
    <n v="19"/>
    <n v="22"/>
    <n v="9929"/>
    <n v="28445"/>
    <n v="20845"/>
    <n v="6041"/>
  </r>
  <r>
    <s v="E09000022"/>
    <s v="Lambeth"/>
    <s v="E12000007"/>
    <x v="4"/>
    <n v="91"/>
    <n v="8"/>
    <n v="128"/>
    <n v="118"/>
    <n v="2726"/>
    <n v="10494"/>
    <n v="20194"/>
    <n v="69465"/>
  </r>
  <r>
    <s v="E07000121"/>
    <s v="Lancaster"/>
    <s v="E12000002"/>
    <x v="1"/>
    <n v="16"/>
    <n v="3"/>
    <n v="48"/>
    <n v="19"/>
    <n v="11657"/>
    <n v="22823"/>
    <n v="15302"/>
    <n v="6549"/>
  </r>
  <r>
    <s v="E08000035"/>
    <s v="Leeds"/>
    <s v="E12000003"/>
    <x v="5"/>
    <n v="0"/>
    <n v="192"/>
    <n v="12"/>
    <n v="27"/>
    <n v="52788"/>
    <n v="127950"/>
    <n v="85263"/>
    <n v="59601"/>
  </r>
  <r>
    <s v="E06000016"/>
    <s v="Leicester"/>
    <s v="E12000004"/>
    <x v="2"/>
    <n v="22"/>
    <n v="17"/>
    <n v="46"/>
    <n v="34"/>
    <n v="14467"/>
    <n v="46365"/>
    <n v="37181"/>
    <n v="22678"/>
  </r>
  <r>
    <s v="E07000063"/>
    <s v="Lewes"/>
    <s v="E12000008"/>
    <x v="0"/>
    <n v="126"/>
    <n v="98"/>
    <n v="211"/>
    <n v="190"/>
    <n v="15290"/>
    <n v="11924"/>
    <n v="7923"/>
    <n v="6161"/>
  </r>
  <r>
    <s v="E09000023"/>
    <s v="Lewisham"/>
    <s v="E12000007"/>
    <x v="4"/>
    <n v="17"/>
    <n v="16"/>
    <n v="53"/>
    <n v="71"/>
    <n v="3682"/>
    <n v="15884"/>
    <n v="32070"/>
    <n v="47837"/>
  </r>
  <r>
    <s v="E07000194"/>
    <s v="Lichfield"/>
    <s v="E12000005"/>
    <x v="7"/>
    <n v="40"/>
    <n v="22"/>
    <n v="33"/>
    <n v="22"/>
    <n v="17278"/>
    <n v="16135"/>
    <n v="6477"/>
    <n v="4596"/>
  </r>
  <r>
    <s v="E07000138"/>
    <s v="Lincoln"/>
    <s v="E12000004"/>
    <x v="2"/>
    <n v="2"/>
    <n v="95"/>
    <n v="11"/>
    <n v="57"/>
    <n v="8452"/>
    <n v="13061"/>
    <n v="12602"/>
    <n v="6783"/>
  </r>
  <r>
    <s v="E08000012"/>
    <s v="Liverpool"/>
    <s v="E12000002"/>
    <x v="1"/>
    <n v="36"/>
    <n v="19"/>
    <n v="33"/>
    <n v="17"/>
    <n v="17047"/>
    <n v="63639"/>
    <n v="78552"/>
    <n v="35589"/>
  </r>
  <r>
    <s v="E06000032"/>
    <s v="Luton"/>
    <s v="E12000006"/>
    <x v="3"/>
    <n v="12"/>
    <n v="13"/>
    <n v="22"/>
    <n v="25"/>
    <n v="10158"/>
    <n v="31781"/>
    <n v="17356"/>
    <n v="16209"/>
  </r>
  <r>
    <s v="E07000110"/>
    <s v="Maidstone"/>
    <s v="E12000008"/>
    <x v="0"/>
    <n v="20"/>
    <n v="72"/>
    <n v="76"/>
    <n v="122"/>
    <n v="18444"/>
    <n v="23687"/>
    <n v="15768"/>
    <n v="10331"/>
  </r>
  <r>
    <s v="E07000074"/>
    <s v="Maldon"/>
    <s v="E12000006"/>
    <x v="3"/>
    <n v="16"/>
    <n v="18"/>
    <n v="35"/>
    <n v="23"/>
    <n v="12543"/>
    <n v="8492"/>
    <n v="4065"/>
    <n v="1954"/>
  </r>
  <r>
    <s v="E07000235"/>
    <s v="Malvern Hills"/>
    <s v="E12000005"/>
    <x v="7"/>
    <n v="44"/>
    <n v="26"/>
    <n v="54"/>
    <n v="35"/>
    <n v="15441"/>
    <n v="10869"/>
    <n v="3891"/>
    <n v="2731"/>
  </r>
  <r>
    <s v="E08000003"/>
    <s v="Manchester"/>
    <s v="E12000002"/>
    <x v="1"/>
    <n v="28"/>
    <n v="3"/>
    <n v="18"/>
    <n v="2"/>
    <n v="11603"/>
    <n v="68528"/>
    <n v="60020"/>
    <n v="60411"/>
  </r>
  <r>
    <s v="E07000174"/>
    <s v="Mansfield"/>
    <s v="E12000004"/>
    <x v="2"/>
    <n v="27"/>
    <n v="3"/>
    <n v="22"/>
    <n v="13"/>
    <n v="14594"/>
    <n v="20776"/>
    <n v="8028"/>
    <n v="3592"/>
  </r>
  <r>
    <s v="E06000035"/>
    <s v="Medway"/>
    <s v="E12000008"/>
    <x v="0"/>
    <n v="17"/>
    <n v="136"/>
    <n v="79"/>
    <n v="102"/>
    <n v="16046"/>
    <n v="34408"/>
    <n v="41983"/>
    <n v="14768"/>
  </r>
  <r>
    <s v="E07000133"/>
    <s v="Melton"/>
    <s v="E12000004"/>
    <x v="2"/>
    <n v="0"/>
    <n v="0"/>
    <n v="0"/>
    <n v="0"/>
    <n v="9346"/>
    <n v="8216"/>
    <n v="3349"/>
    <n v="1119"/>
  </r>
  <r>
    <s v="E07000187"/>
    <s v="Mendip"/>
    <s v="E12000009"/>
    <x v="6"/>
    <n v="39"/>
    <n v="4"/>
    <n v="36"/>
    <n v="20"/>
    <n v="16137"/>
    <n v="16078"/>
    <n v="11918"/>
    <n v="4033"/>
  </r>
  <r>
    <s v="W06000024"/>
    <s v="Merthyr Tydfil"/>
    <s v="W92000004"/>
    <x v="8"/>
    <n v="28"/>
    <n v="34"/>
    <n v="61"/>
    <n v="104"/>
    <n v="4329"/>
    <n v="7317"/>
    <n v="12197"/>
    <n v="1414"/>
  </r>
  <r>
    <s v="E09000024"/>
    <s v="Merton"/>
    <s v="E12000007"/>
    <x v="4"/>
    <n v="33"/>
    <n v="3"/>
    <n v="13"/>
    <n v="7"/>
    <n v="4659"/>
    <n v="15514"/>
    <n v="29176"/>
    <n v="23191"/>
  </r>
  <r>
    <s v="E07000042"/>
    <s v="Mid Devon"/>
    <s v="E12000009"/>
    <x v="6"/>
    <n v="8"/>
    <n v="2"/>
    <n v="7"/>
    <n v="18"/>
    <n v="13703"/>
    <n v="10433"/>
    <n v="7870"/>
    <n v="2321"/>
  </r>
  <r>
    <s v="E07000203"/>
    <s v="Mid Suffolk"/>
    <s v="E12000006"/>
    <x v="3"/>
    <n v="5"/>
    <n v="53"/>
    <n v="16"/>
    <n v="36"/>
    <n v="20822"/>
    <n v="14437"/>
    <n v="6041"/>
    <n v="2099"/>
  </r>
  <r>
    <s v="E07000228"/>
    <s v="Mid Sussex"/>
    <s v="E12000008"/>
    <x v="0"/>
    <n v="27"/>
    <n v="5"/>
    <n v="22"/>
    <n v="14"/>
    <n v="21657"/>
    <n v="18994"/>
    <n v="9960"/>
    <n v="9829"/>
  </r>
  <r>
    <s v="E06000002"/>
    <s v="Middlesbrough"/>
    <s v="E12000001"/>
    <x v="9"/>
    <n v="49"/>
    <n v="0"/>
    <n v="27"/>
    <n v="23"/>
    <n v="10389"/>
    <n v="25485"/>
    <n v="16768"/>
    <n v="6457"/>
  </r>
  <r>
    <s v="E06000042"/>
    <s v="Milton Keynes"/>
    <s v="E12000008"/>
    <x v="0"/>
    <n v="44"/>
    <n v="25"/>
    <n v="53"/>
    <n v="16"/>
    <n v="31671"/>
    <n v="33130"/>
    <n v="27738"/>
    <n v="18825"/>
  </r>
  <r>
    <s v="E07000210"/>
    <s v="Mole Valley"/>
    <s v="E12000008"/>
    <x v="0"/>
    <n v="13"/>
    <n v="6"/>
    <n v="45"/>
    <n v="44"/>
    <n v="13978"/>
    <n v="10417"/>
    <n v="4445"/>
    <n v="5980"/>
  </r>
  <r>
    <s v="W06000021"/>
    <s v="Monmouthshire"/>
    <s v="W92000004"/>
    <x v="8"/>
    <n v="72"/>
    <n v="71"/>
    <n v="71"/>
    <n v="71"/>
    <n v="18030"/>
    <n v="11747"/>
    <n v="6829"/>
    <n v="3091"/>
  </r>
  <r>
    <s v="W06000012"/>
    <s v="Neath Port Talbot"/>
    <s v="W92000004"/>
    <x v="8"/>
    <n v="20"/>
    <n v="7"/>
    <n v="13"/>
    <n v="14"/>
    <n v="13305"/>
    <n v="26897"/>
    <n v="15855"/>
    <n v="5139"/>
  </r>
  <r>
    <s v="E07000091"/>
    <s v="New Forest"/>
    <s v="E12000008"/>
    <x v="0"/>
    <n v="43"/>
    <n v="13"/>
    <n v="17"/>
    <n v="14"/>
    <n v="35214"/>
    <n v="18667"/>
    <n v="11841"/>
    <n v="8522"/>
  </r>
  <r>
    <s v="E07000175"/>
    <s v="Newark and Sherwood"/>
    <s v="E12000004"/>
    <x v="2"/>
    <n v="19"/>
    <n v="2"/>
    <n v="54"/>
    <n v="44"/>
    <n v="20332"/>
    <n v="19829"/>
    <n v="8390"/>
    <n v="3355"/>
  </r>
  <r>
    <s v="E08000021"/>
    <s v="Newcastle upon Tyne"/>
    <s v="E12000001"/>
    <x v="9"/>
    <n v="59"/>
    <n v="26"/>
    <n v="29"/>
    <n v="37"/>
    <n v="11676"/>
    <n v="42492"/>
    <n v="28946"/>
    <n v="30478"/>
  </r>
  <r>
    <s v="E07000195"/>
    <s v="Newcastle-under-Lyme"/>
    <s v="E12000005"/>
    <x v="7"/>
    <n v="49"/>
    <n v="3"/>
    <n v="30"/>
    <n v="20"/>
    <n v="13642"/>
    <n v="23932"/>
    <n v="10341"/>
    <n v="4565"/>
  </r>
  <r>
    <s v="E09000025"/>
    <s v="Newham"/>
    <s v="E12000007"/>
    <x v="4"/>
    <n v="66"/>
    <n v="63"/>
    <n v="78"/>
    <n v="74"/>
    <n v="6337"/>
    <n v="11937"/>
    <n v="36118"/>
    <n v="50384"/>
  </r>
  <r>
    <s v="W06000022"/>
    <s v="Newport"/>
    <s v="W92000004"/>
    <x v="8"/>
    <n v="34"/>
    <n v="4"/>
    <n v="47"/>
    <n v="28"/>
    <n v="13654"/>
    <n v="20759"/>
    <n v="20549"/>
    <n v="8885"/>
  </r>
  <r>
    <s v="E07000043"/>
    <s v="North Devon"/>
    <s v="E12000009"/>
    <x v="6"/>
    <n v="1"/>
    <n v="186"/>
    <n v="6"/>
    <n v="42"/>
    <n v="17051"/>
    <n v="10177"/>
    <n v="9471"/>
    <n v="3617"/>
  </r>
  <r>
    <s v="E07000038"/>
    <s v="North East Derbyshire"/>
    <s v="E12000004"/>
    <x v="2"/>
    <n v="28"/>
    <n v="15"/>
    <n v="27"/>
    <n v="44"/>
    <n v="16871"/>
    <n v="19949"/>
    <n v="5896"/>
    <n v="2392"/>
  </r>
  <r>
    <s v="E06000012"/>
    <s v="North East Lincolnshire"/>
    <s v="E12000003"/>
    <x v="5"/>
    <n v="51"/>
    <n v="11"/>
    <n v="12"/>
    <n v="24"/>
    <n v="15597"/>
    <n v="24186"/>
    <n v="22044"/>
    <n v="5517"/>
  </r>
  <r>
    <s v="E07000099"/>
    <s v="North Hertfordshire"/>
    <s v="E12000006"/>
    <x v="3"/>
    <n v="29"/>
    <n v="0"/>
    <n v="39"/>
    <n v="11"/>
    <n v="13776"/>
    <n v="17305"/>
    <n v="13939"/>
    <n v="9686"/>
  </r>
  <r>
    <s v="E07000139"/>
    <s v="North Kesteven"/>
    <s v="E12000004"/>
    <x v="2"/>
    <n v="29"/>
    <n v="6"/>
    <n v="50"/>
    <n v="53"/>
    <n v="27549"/>
    <n v="15521"/>
    <n v="5282"/>
    <n v="1586"/>
  </r>
  <r>
    <s v="E06000013"/>
    <s v="North Lincolnshire"/>
    <s v="E12000003"/>
    <x v="5"/>
    <n v="23"/>
    <n v="22"/>
    <n v="32"/>
    <n v="35"/>
    <n v="25763"/>
    <n v="30620"/>
    <n v="9819"/>
    <n v="5076"/>
  </r>
  <r>
    <s v="E07000147"/>
    <s v="North Norfolk"/>
    <s v="E12000006"/>
    <x v="3"/>
    <n v="0"/>
    <n v="0"/>
    <n v="0"/>
    <n v="0"/>
    <n v="21614"/>
    <n v="14583"/>
    <n v="6963"/>
    <n v="3226"/>
  </r>
  <r>
    <s v="E06000061"/>
    <s v="North Northamptonshire "/>
    <s v="E12000004"/>
    <x v="2"/>
    <n v="54"/>
    <n v="4"/>
    <n v="45"/>
    <n v="19"/>
    <n v="44461"/>
    <n v="52529"/>
    <n v="34629"/>
    <n v="13574"/>
  </r>
  <r>
    <s v="E06000024"/>
    <s v="North Somerset"/>
    <s v="E12000009"/>
    <x v="6"/>
    <n v="55"/>
    <n v="13"/>
    <n v="25"/>
    <n v="22"/>
    <n v="31344"/>
    <n v="28469"/>
    <n v="14314"/>
    <n v="12303"/>
  </r>
  <r>
    <s v="E08000022"/>
    <s v="North Tyneside"/>
    <s v="E12000001"/>
    <x v="9"/>
    <n v="101"/>
    <n v="20"/>
    <n v="115"/>
    <n v="53"/>
    <n v="12051"/>
    <n v="40118"/>
    <n v="22090"/>
    <n v="17096"/>
  </r>
  <r>
    <s v="E07000218"/>
    <s v="North Warwickshire"/>
    <s v="E12000005"/>
    <x v="7"/>
    <n v="73"/>
    <n v="50"/>
    <n v="61"/>
    <n v="47"/>
    <n v="7965"/>
    <n v="10828"/>
    <n v="6227"/>
    <n v="1869"/>
  </r>
  <r>
    <s v="E07000134"/>
    <s v="North West Leicestershire"/>
    <s v="E12000004"/>
    <x v="2"/>
    <n v="13"/>
    <n v="1"/>
    <n v="20"/>
    <n v="13"/>
    <n v="18472"/>
    <n v="15690"/>
    <n v="7550"/>
    <n v="2206"/>
  </r>
  <r>
    <s v="E06000057"/>
    <s v="Northumberland"/>
    <s v="E12000001"/>
    <x v="9"/>
    <n v="45"/>
    <n v="2"/>
    <n v="49"/>
    <n v="21"/>
    <n v="39981"/>
    <n v="53097"/>
    <n v="37801"/>
    <n v="12097"/>
  </r>
  <r>
    <s v="E07000148"/>
    <s v="Norwich"/>
    <s v="E12000006"/>
    <x v="3"/>
    <n v="0"/>
    <n v="0"/>
    <n v="0"/>
    <n v="0"/>
    <n v="6612"/>
    <n v="14029"/>
    <n v="20606"/>
    <n v="19471"/>
  </r>
  <r>
    <s v="E06000018"/>
    <s v="Nottingham"/>
    <s v="E12000004"/>
    <x v="2"/>
    <n v="209"/>
    <n v="62"/>
    <n v="198"/>
    <n v="161"/>
    <n v="19464"/>
    <n v="41519"/>
    <n v="34147"/>
    <n v="23009"/>
  </r>
  <r>
    <s v="E07000219"/>
    <s v="Nuneaton and Bedworth"/>
    <s v="E12000005"/>
    <x v="7"/>
    <n v="130"/>
    <n v="27"/>
    <n v="97"/>
    <n v="98"/>
    <n v="14120"/>
    <n v="21569"/>
    <n v="13649"/>
    <n v="5968"/>
  </r>
  <r>
    <s v="E07000135"/>
    <s v="Oadby and Wigston"/>
    <s v="E12000004"/>
    <x v="2"/>
    <n v="16"/>
    <n v="30"/>
    <n v="22"/>
    <n v="50"/>
    <n v="6776"/>
    <n v="10683"/>
    <n v="3253"/>
    <n v="1527"/>
  </r>
  <r>
    <s v="E08000004"/>
    <s v="Oldham"/>
    <s v="E12000002"/>
    <x v="1"/>
    <n v="29"/>
    <n v="5"/>
    <n v="33"/>
    <n v="23"/>
    <n v="12356"/>
    <n v="33440"/>
    <n v="35838"/>
    <n v="9857"/>
  </r>
  <r>
    <s v="E07000178"/>
    <s v="Oxford"/>
    <s v="E12000008"/>
    <x v="0"/>
    <n v="25"/>
    <n v="2"/>
    <n v="20"/>
    <n v="3"/>
    <n v="5257"/>
    <n v="17531"/>
    <n v="15353"/>
    <n v="13310"/>
  </r>
  <r>
    <s v="W06000009"/>
    <s v="Pembrokeshire"/>
    <s v="W92000004"/>
    <x v="8"/>
    <n v="20"/>
    <n v="23"/>
    <n v="35"/>
    <n v="58"/>
    <n v="23707"/>
    <n v="15301"/>
    <n v="10121"/>
    <n v="3928"/>
  </r>
  <r>
    <s v="E07000122"/>
    <s v="Pendle"/>
    <s v="E12000002"/>
    <x v="1"/>
    <n v="3"/>
    <n v="18"/>
    <n v="19"/>
    <n v="26"/>
    <n v="5516"/>
    <n v="9318"/>
    <n v="20064"/>
    <n v="2269"/>
  </r>
  <r>
    <s v="E06000031"/>
    <s v="Peterborough"/>
    <s v="E12000006"/>
    <x v="3"/>
    <n v="44"/>
    <n v="6"/>
    <n v="21"/>
    <n v="24"/>
    <n v="23554"/>
    <n v="27721"/>
    <n v="18495"/>
    <n v="12436"/>
  </r>
  <r>
    <s v="E06000026"/>
    <s v="Plymouth"/>
    <s v="E12000009"/>
    <x v="6"/>
    <n v="17"/>
    <n v="3"/>
    <n v="11"/>
    <n v="49"/>
    <n v="13017"/>
    <n v="34537"/>
    <n v="37592"/>
    <n v="18588"/>
  </r>
  <r>
    <s v="E06000044"/>
    <s v="Portsmouth"/>
    <s v="E12000008"/>
    <x v="0"/>
    <n v="9"/>
    <n v="46"/>
    <n v="14"/>
    <n v="89"/>
    <n v="3864"/>
    <n v="14218"/>
    <n v="37361"/>
    <n v="22794"/>
  </r>
  <r>
    <s v="W06000023"/>
    <s v="Powys"/>
    <s v="W92000004"/>
    <x v="8"/>
    <n v="43"/>
    <n v="3"/>
    <n v="18"/>
    <n v="26"/>
    <n v="29176"/>
    <n v="15351"/>
    <n v="10134"/>
    <n v="3187"/>
  </r>
  <r>
    <s v="E07000123"/>
    <s v="Preston"/>
    <s v="E12000002"/>
    <x v="1"/>
    <n v="50"/>
    <n v="24"/>
    <n v="55"/>
    <n v="39"/>
    <n v="11348"/>
    <n v="20358"/>
    <n v="17431"/>
    <n v="8318"/>
  </r>
  <r>
    <s v="E06000038"/>
    <s v="Reading"/>
    <s v="E12000008"/>
    <x v="0"/>
    <n v="8"/>
    <n v="50"/>
    <n v="23"/>
    <n v="46"/>
    <n v="8291"/>
    <n v="17548"/>
    <n v="19083"/>
    <n v="18210"/>
  </r>
  <r>
    <s v="E09000026"/>
    <s v="Redbridge"/>
    <s v="E12000007"/>
    <x v="4"/>
    <n v="4"/>
    <n v="47"/>
    <n v="18"/>
    <n v="64"/>
    <n v="7229"/>
    <n v="27965"/>
    <n v="33469"/>
    <n v="26303"/>
  </r>
  <r>
    <s v="E06000003"/>
    <s v="Redcar and Cleveland"/>
    <s v="E12000001"/>
    <x v="9"/>
    <n v="24"/>
    <n v="4"/>
    <n v="54"/>
    <n v="32"/>
    <n v="12449"/>
    <n v="27942"/>
    <n v="15666"/>
    <n v="4005"/>
  </r>
  <r>
    <s v="E07000236"/>
    <s v="Redditch"/>
    <s v="E12000005"/>
    <x v="7"/>
    <n v="16"/>
    <n v="5"/>
    <n v="13"/>
    <n v="14"/>
    <n v="10014"/>
    <n v="11419"/>
    <n v="9393"/>
    <n v="4731"/>
  </r>
  <r>
    <s v="E07000211"/>
    <s v="Reigate and Banstead"/>
    <s v="E12000008"/>
    <x v="0"/>
    <n v="0"/>
    <n v="0"/>
    <n v="0"/>
    <n v="0"/>
    <n v="16679"/>
    <n v="17720"/>
    <n v="9596"/>
    <n v="12839"/>
  </r>
  <r>
    <s v="W06000016"/>
    <s v="Rhondda Cynon Taf"/>
    <s v="W92000004"/>
    <x v="8"/>
    <n v="19"/>
    <n v="5"/>
    <n v="32"/>
    <n v="99"/>
    <n v="17012"/>
    <n v="28717"/>
    <n v="48928"/>
    <n v="6780"/>
  </r>
  <r>
    <s v="E07000124"/>
    <s v="Ribble Valley"/>
    <s v="E12000002"/>
    <x v="1"/>
    <n v="17"/>
    <n v="0"/>
    <n v="24"/>
    <n v="25"/>
    <n v="9217"/>
    <n v="7659"/>
    <n v="7558"/>
    <n v="1491"/>
  </r>
  <r>
    <s v="E09000027"/>
    <s v="Richmond upon Thames"/>
    <s v="E12000007"/>
    <x v="4"/>
    <n v="0"/>
    <n v="0"/>
    <n v="0"/>
    <n v="0"/>
    <n v="6683"/>
    <n v="20164"/>
    <n v="21431"/>
    <n v="22721"/>
  </r>
  <r>
    <s v="E07000166"/>
    <s v="Richmondshire"/>
    <s v="E12000003"/>
    <x v="5"/>
    <n v="9"/>
    <n v="52"/>
    <n v="17"/>
    <n v="39"/>
    <n v="7497"/>
    <n v="7515"/>
    <n v="4226"/>
    <n v="1057"/>
  </r>
  <r>
    <s v="E08000005"/>
    <s v="Rochdale"/>
    <s v="E12000002"/>
    <x v="1"/>
    <n v="30"/>
    <n v="8"/>
    <n v="57"/>
    <n v="78"/>
    <n v="15155"/>
    <n v="32358"/>
    <n v="31026"/>
    <n v="9916"/>
  </r>
  <r>
    <s v="E07000075"/>
    <s v="Rochford"/>
    <s v="E12000006"/>
    <x v="3"/>
    <n v="29"/>
    <n v="7"/>
    <n v="31"/>
    <n v="9"/>
    <n v="11951"/>
    <n v="16310"/>
    <n v="2811"/>
    <n v="3315"/>
  </r>
  <r>
    <s v="E07000125"/>
    <s v="Rossendale"/>
    <s v="E12000002"/>
    <x v="1"/>
    <n v="10"/>
    <n v="7"/>
    <n v="13"/>
    <n v="32"/>
    <n v="6634"/>
    <n v="8041"/>
    <n v="12675"/>
    <n v="2322"/>
  </r>
  <r>
    <s v="E07000064"/>
    <s v="Rother"/>
    <s v="E12000008"/>
    <x v="0"/>
    <n v="37"/>
    <n v="31"/>
    <n v="12"/>
    <n v="13"/>
    <n v="17719"/>
    <n v="9620"/>
    <n v="5452"/>
    <n v="5973"/>
  </r>
  <r>
    <s v="E08000018"/>
    <s v="Rotherham"/>
    <s v="E12000003"/>
    <x v="5"/>
    <n v="29"/>
    <n v="9"/>
    <n v="19"/>
    <n v="19"/>
    <n v="25415"/>
    <n v="56050"/>
    <n v="20689"/>
    <n v="9957"/>
  </r>
  <r>
    <s v="E07000220"/>
    <s v="Rugby"/>
    <s v="E12000005"/>
    <x v="7"/>
    <n v="15"/>
    <n v="53"/>
    <n v="15"/>
    <n v="12"/>
    <n v="14350"/>
    <n v="15938"/>
    <n v="10615"/>
    <n v="4836"/>
  </r>
  <r>
    <s v="E07000212"/>
    <s v="Runnymede"/>
    <s v="E12000008"/>
    <x v="0"/>
    <n v="62"/>
    <n v="7"/>
    <n v="27"/>
    <n v="12"/>
    <n v="9032"/>
    <n v="11190"/>
    <n v="5369"/>
    <n v="6922"/>
  </r>
  <r>
    <s v="E07000176"/>
    <s v="Rushcliffe"/>
    <s v="E12000004"/>
    <x v="2"/>
    <n v="9"/>
    <n v="65"/>
    <n v="23"/>
    <n v="22"/>
    <n v="23373"/>
    <n v="15394"/>
    <n v="5600"/>
    <n v="3810"/>
  </r>
  <r>
    <s v="E07000092"/>
    <s v="Rushmoor"/>
    <s v="E12000008"/>
    <x v="0"/>
    <n v="20"/>
    <n v="4"/>
    <n v="9"/>
    <n v="10"/>
    <n v="6491"/>
    <n v="12597"/>
    <n v="9238"/>
    <n v="9121"/>
  </r>
  <r>
    <s v="E06000017"/>
    <s v="Rutland"/>
    <s v="E12000004"/>
    <x v="2"/>
    <n v="0"/>
    <n v="0"/>
    <n v="0"/>
    <n v="0"/>
    <n v="7753"/>
    <n v="4710"/>
    <n v="2826"/>
    <n v="952"/>
  </r>
  <r>
    <s v="E07000167"/>
    <s v="Ryedale"/>
    <s v="E12000003"/>
    <x v="5"/>
    <n v="17"/>
    <n v="79"/>
    <n v="62"/>
    <n v="55"/>
    <n v="10135"/>
    <n v="8124"/>
    <n v="4537"/>
    <n v="1183"/>
  </r>
  <r>
    <s v="E08000006"/>
    <s v="Salford"/>
    <s v="E12000002"/>
    <x v="1"/>
    <n v="13"/>
    <n v="15"/>
    <n v="59"/>
    <n v="45"/>
    <n v="10764"/>
    <n v="39987"/>
    <n v="29241"/>
    <n v="31999"/>
  </r>
  <r>
    <s v="E08000028"/>
    <s v="Sandwell"/>
    <s v="E12000005"/>
    <x v="7"/>
    <n v="0"/>
    <n v="0"/>
    <n v="0"/>
    <n v="0"/>
    <n v="15453"/>
    <n v="57980"/>
    <n v="31724"/>
    <n v="21923"/>
  </r>
  <r>
    <s v="E07000168"/>
    <s v="Scarborough"/>
    <s v="E12000003"/>
    <x v="5"/>
    <n v="0"/>
    <n v="0"/>
    <n v="0"/>
    <n v="0"/>
    <n v="11922"/>
    <n v="17274"/>
    <n v="10684"/>
    <n v="6899"/>
  </r>
  <r>
    <s v="E07000188"/>
    <s v="Sedgemoor"/>
    <s v="E12000009"/>
    <x v="6"/>
    <n v="63"/>
    <n v="44"/>
    <n v="93"/>
    <n v="33"/>
    <n v="17703"/>
    <n v="17416"/>
    <n v="11565"/>
    <n v="4962"/>
  </r>
  <r>
    <s v="E08000014"/>
    <s v="Sefton"/>
    <s v="E12000002"/>
    <x v="1"/>
    <n v="0"/>
    <n v="0"/>
    <n v="0"/>
    <n v="0"/>
    <n v="19926"/>
    <n v="56728"/>
    <n v="22585"/>
    <n v="16693"/>
  </r>
  <r>
    <s v="E07000169"/>
    <s v="Selby"/>
    <s v="E12000003"/>
    <x v="5"/>
    <n v="32"/>
    <n v="19"/>
    <n v="30"/>
    <n v="25"/>
    <n v="16243"/>
    <n v="13615"/>
    <n v="6841"/>
    <n v="2195"/>
  </r>
  <r>
    <s v="E07000111"/>
    <s v="Sevenoaks"/>
    <s v="E12000008"/>
    <x v="0"/>
    <n v="60"/>
    <n v="72"/>
    <n v="143"/>
    <n v="135"/>
    <n v="16223"/>
    <n v="14044"/>
    <n v="10962"/>
    <n v="5745"/>
  </r>
  <r>
    <s v="E08000019"/>
    <s v="Sheffield"/>
    <s v="E12000003"/>
    <x v="5"/>
    <n v="129"/>
    <n v="19"/>
    <n v="80"/>
    <n v="53"/>
    <n v="34839"/>
    <n v="88149"/>
    <n v="60285"/>
    <n v="40731"/>
  </r>
  <r>
    <s v="E06000051"/>
    <s v="Shropshire"/>
    <s v="E12000005"/>
    <x v="7"/>
    <n v="5"/>
    <n v="25"/>
    <n v="16"/>
    <n v="17"/>
    <n v="57267"/>
    <n v="46762"/>
    <n v="21998"/>
    <n v="8467"/>
  </r>
  <r>
    <s v="E06000039"/>
    <s v="Slough"/>
    <s v="E12000008"/>
    <x v="0"/>
    <n v="37"/>
    <n v="27"/>
    <n v="57"/>
    <n v="35"/>
    <n v="5453"/>
    <n v="15513"/>
    <n v="13775"/>
    <n v="15533"/>
  </r>
  <r>
    <s v="E08000029"/>
    <s v="Solihull"/>
    <s v="E12000005"/>
    <x v="7"/>
    <n v="0"/>
    <n v="0"/>
    <n v="0"/>
    <n v="0"/>
    <n v="25497"/>
    <n v="33536"/>
    <n v="14102"/>
    <n v="14754"/>
  </r>
  <r>
    <s v="E07000246"/>
    <s v="Somerset West and Taunton"/>
    <s v="E12000009"/>
    <x v="6"/>
    <n v="67"/>
    <n v="17"/>
    <n v="33"/>
    <n v="19"/>
    <n v="21926"/>
    <n v="20782"/>
    <n v="15815"/>
    <n v="8005"/>
  </r>
  <r>
    <s v="E07000012"/>
    <s v="South Cambridgeshire"/>
    <s v="E12000006"/>
    <x v="3"/>
    <n v="46"/>
    <n v="6"/>
    <n v="37"/>
    <n v="23"/>
    <n v="27602"/>
    <n v="22639"/>
    <n v="11247"/>
    <n v="4033"/>
  </r>
  <r>
    <s v="E07000039"/>
    <s v="South Derbyshire"/>
    <s v="E12000004"/>
    <x v="2"/>
    <n v="52"/>
    <n v="29"/>
    <n v="61"/>
    <n v="68"/>
    <n v="18672"/>
    <n v="15770"/>
    <n v="7743"/>
    <n v="2123"/>
  </r>
  <r>
    <s v="E06000025"/>
    <s v="South Gloucestershire"/>
    <s v="E12000009"/>
    <x v="6"/>
    <n v="63"/>
    <n v="12"/>
    <n v="15"/>
    <n v="30"/>
    <n v="31401"/>
    <n v="40784"/>
    <n v="30133"/>
    <n v="12339"/>
  </r>
  <r>
    <s v="E07000044"/>
    <s v="South Hams"/>
    <s v="E12000009"/>
    <x v="6"/>
    <n v="46"/>
    <n v="2"/>
    <n v="17"/>
    <n v="12"/>
    <n v="15663"/>
    <n v="11029"/>
    <n v="8215"/>
    <n v="2414"/>
  </r>
  <r>
    <s v="E07000140"/>
    <s v="South Holland"/>
    <s v="E12000004"/>
    <x v="2"/>
    <n v="77"/>
    <n v="9"/>
    <n v="33"/>
    <n v="28"/>
    <n v="21870"/>
    <n v="12661"/>
    <n v="3943"/>
    <n v="1337"/>
  </r>
  <r>
    <s v="E07000141"/>
    <s v="South Kesteven"/>
    <s v="E12000004"/>
    <x v="2"/>
    <n v="0"/>
    <n v="0"/>
    <n v="0"/>
    <n v="0"/>
    <n v="26261"/>
    <n v="19391"/>
    <n v="10994"/>
    <n v="4265"/>
  </r>
  <r>
    <s v="E07000031"/>
    <s v="South Lakeland"/>
    <s v="E12000002"/>
    <x v="1"/>
    <n v="61"/>
    <n v="4"/>
    <n v="37"/>
    <n v="18"/>
    <n v="15108"/>
    <n v="14655"/>
    <n v="11042"/>
    <n v="4149"/>
  </r>
  <r>
    <s v="E07000149"/>
    <s v="South Norfolk"/>
    <s v="E12000006"/>
    <x v="3"/>
    <n v="27"/>
    <n v="17"/>
    <n v="52"/>
    <n v="38"/>
    <n v="30430"/>
    <n v="19062"/>
    <n v="7674"/>
    <n v="3141"/>
  </r>
  <r>
    <s v="E07000179"/>
    <s v="South Oxfordshire"/>
    <s v="E12000008"/>
    <x v="0"/>
    <n v="34"/>
    <n v="2"/>
    <n v="56"/>
    <n v="15"/>
    <n v="21670"/>
    <n v="20433"/>
    <n v="11348"/>
    <n v="5526"/>
  </r>
  <r>
    <s v="E07000126"/>
    <s v="South Ribble"/>
    <s v="E12000002"/>
    <x v="1"/>
    <n v="0"/>
    <n v="0"/>
    <n v="0"/>
    <n v="0"/>
    <n v="14458"/>
    <n v="21651"/>
    <n v="8169"/>
    <n v="3443"/>
  </r>
  <r>
    <s v="E07000189"/>
    <s v="South Somerset"/>
    <s v="E12000009"/>
    <x v="6"/>
    <n v="26"/>
    <n v="6"/>
    <n v="28"/>
    <n v="6"/>
    <n v="25568"/>
    <n v="23944"/>
    <n v="17476"/>
    <n v="6185"/>
  </r>
  <r>
    <s v="E07000196"/>
    <s v="South Staffordshire"/>
    <s v="E12000005"/>
    <x v="7"/>
    <n v="7"/>
    <n v="23"/>
    <n v="30"/>
    <n v="32"/>
    <n v="18240"/>
    <n v="18073"/>
    <n v="4957"/>
    <n v="3395"/>
  </r>
  <r>
    <s v="E08000023"/>
    <s v="South Tyneside"/>
    <s v="E12000001"/>
    <x v="9"/>
    <n v="11"/>
    <n v="40"/>
    <n v="40"/>
    <n v="36"/>
    <n v="6408"/>
    <n v="29261"/>
    <n v="18704"/>
    <n v="10952"/>
  </r>
  <r>
    <s v="E06000045"/>
    <s v="Southampton"/>
    <s v="E12000008"/>
    <x v="0"/>
    <n v="17"/>
    <n v="48"/>
    <n v="45"/>
    <n v="23"/>
    <n v="13291"/>
    <n v="26344"/>
    <n v="20089"/>
    <n v="35540"/>
  </r>
  <r>
    <s v="E06000033"/>
    <s v="Southend-on-Sea"/>
    <s v="E12000006"/>
    <x v="3"/>
    <n v="0"/>
    <n v="137"/>
    <n v="7"/>
    <n v="43"/>
    <n v="12347"/>
    <n v="24276"/>
    <n v="13335"/>
    <n v="15982"/>
  </r>
  <r>
    <s v="E09000028"/>
    <s v="Southwark"/>
    <s v="E12000007"/>
    <x v="4"/>
    <n v="5"/>
    <n v="30"/>
    <n v="17"/>
    <n v="17"/>
    <n v="2377"/>
    <n v="7400"/>
    <n v="18764"/>
    <n v="84281"/>
  </r>
  <r>
    <s v="E07000213"/>
    <s v="Spelthorne"/>
    <s v="E12000008"/>
    <x v="0"/>
    <n v="23"/>
    <n v="24"/>
    <n v="24"/>
    <n v="26"/>
    <n v="7958"/>
    <n v="14290"/>
    <n v="8235"/>
    <n v="9525"/>
  </r>
  <r>
    <s v="E07000240"/>
    <s v="St Albans"/>
    <s v="E12000006"/>
    <x v="3"/>
    <n v="0"/>
    <n v="0"/>
    <n v="0"/>
    <n v="0"/>
    <n v="15495"/>
    <n v="17838"/>
    <n v="11819"/>
    <n v="11090"/>
  </r>
  <r>
    <s v="E08000013"/>
    <s v="St. Helens"/>
    <s v="E12000002"/>
    <x v="1"/>
    <n v="35"/>
    <n v="14"/>
    <n v="31"/>
    <n v="18"/>
    <n v="12833"/>
    <n v="38054"/>
    <n v="22929"/>
    <n v="5824"/>
  </r>
  <r>
    <s v="E07000197"/>
    <s v="Stafford"/>
    <s v="E12000005"/>
    <x v="7"/>
    <n v="30"/>
    <n v="3"/>
    <n v="37"/>
    <n v="10"/>
    <n v="23097"/>
    <n v="19639"/>
    <n v="9835"/>
    <n v="5733"/>
  </r>
  <r>
    <s v="E07000198"/>
    <s v="Staffordshire Moorlands"/>
    <s v="E12000005"/>
    <x v="7"/>
    <n v="7"/>
    <n v="12"/>
    <n v="12"/>
    <n v="23"/>
    <n v="17251"/>
    <n v="16034"/>
    <n v="6660"/>
    <n v="1355"/>
  </r>
  <r>
    <s v="E07000243"/>
    <s v="Stevenage"/>
    <s v="E12000006"/>
    <x v="3"/>
    <n v="53"/>
    <n v="26"/>
    <n v="100"/>
    <n v="56"/>
    <n v="4354"/>
    <n v="7133"/>
    <n v="16848"/>
    <n v="7356"/>
  </r>
  <r>
    <s v="E08000007"/>
    <s v="Stockport"/>
    <s v="E12000002"/>
    <x v="1"/>
    <n v="60"/>
    <n v="6"/>
    <n v="47"/>
    <n v="38"/>
    <n v="27416"/>
    <n v="52145"/>
    <n v="26512"/>
    <n v="16692"/>
  </r>
  <r>
    <s v="E06000004"/>
    <s v="Stockton-on-Tees"/>
    <s v="E12000001"/>
    <x v="9"/>
    <n v="27"/>
    <n v="29"/>
    <n v="65"/>
    <n v="92"/>
    <n v="22209"/>
    <n v="35494"/>
    <n v="18298"/>
    <n v="6444"/>
  </r>
  <r>
    <s v="E06000021"/>
    <s v="Stoke-on-Trent"/>
    <s v="E12000005"/>
    <x v="7"/>
    <n v="61"/>
    <n v="19"/>
    <n v="28"/>
    <n v="20"/>
    <n v="16542"/>
    <n v="50860"/>
    <n v="30437"/>
    <n v="10166"/>
  </r>
  <r>
    <s v="E07000221"/>
    <s v="Stratford-on-Avon"/>
    <s v="E12000005"/>
    <x v="7"/>
    <n v="50"/>
    <n v="13"/>
    <n v="36"/>
    <n v="43"/>
    <n v="22562"/>
    <n v="18740"/>
    <n v="10693"/>
    <n v="5323"/>
  </r>
  <r>
    <s v="E07000082"/>
    <s v="Stroud"/>
    <s v="E12000009"/>
    <x v="6"/>
    <n v="30"/>
    <n v="23"/>
    <n v="78"/>
    <n v="101"/>
    <n v="19286"/>
    <n v="17216"/>
    <n v="9833"/>
    <n v="4021"/>
  </r>
  <r>
    <s v="E08000024"/>
    <s v="Sunderland"/>
    <s v="E12000001"/>
    <x v="9"/>
    <n v="22"/>
    <n v="26"/>
    <n v="26"/>
    <n v="9"/>
    <n v="16201"/>
    <n v="55039"/>
    <n v="35518"/>
    <n v="12158"/>
  </r>
  <r>
    <s v="E07000214"/>
    <s v="Surrey Heath"/>
    <s v="E12000008"/>
    <x v="0"/>
    <n v="17"/>
    <n v="62"/>
    <n v="27"/>
    <n v="49"/>
    <n v="15738"/>
    <n v="9152"/>
    <n v="4481"/>
    <n v="5300"/>
  </r>
  <r>
    <s v="E09000029"/>
    <s v="Sutton"/>
    <s v="E12000007"/>
    <x v="4"/>
    <n v="37"/>
    <n v="10"/>
    <n v="39"/>
    <n v="49"/>
    <n v="8611"/>
    <n v="23003"/>
    <n v="20167"/>
    <n v="25737"/>
  </r>
  <r>
    <s v="E07000113"/>
    <s v="Swale"/>
    <s v="E12000008"/>
    <x v="0"/>
    <n v="48"/>
    <n v="14"/>
    <n v="62"/>
    <n v="72"/>
    <n v="14477"/>
    <n v="20406"/>
    <n v="18041"/>
    <n v="5224"/>
  </r>
  <r>
    <s v="W06000011"/>
    <s v="Swansea"/>
    <s v="W92000004"/>
    <x v="8"/>
    <n v="38"/>
    <n v="60"/>
    <n v="51"/>
    <n v="62"/>
    <n v="25167"/>
    <n v="36244"/>
    <n v="26665"/>
    <n v="13199"/>
  </r>
  <r>
    <s v="E06000030"/>
    <s v="Swindon"/>
    <s v="E12000009"/>
    <x v="6"/>
    <n v="16"/>
    <n v="29"/>
    <n v="69"/>
    <n v="70"/>
    <n v="21354"/>
    <n v="29458"/>
    <n v="27788"/>
    <n v="14584"/>
  </r>
  <r>
    <s v="E08000008"/>
    <s v="Tameside"/>
    <s v="E12000002"/>
    <x v="1"/>
    <n v="19"/>
    <n v="7"/>
    <n v="18"/>
    <n v="11"/>
    <n v="11904"/>
    <n v="38449"/>
    <n v="33953"/>
    <n v="12799"/>
  </r>
  <r>
    <s v="E07000199"/>
    <s v="Tamworth"/>
    <s v="E12000005"/>
    <x v="7"/>
    <n v="22"/>
    <n v="14"/>
    <n v="24"/>
    <n v="9"/>
    <n v="8763"/>
    <n v="12665"/>
    <n v="7052"/>
    <n v="3636"/>
  </r>
  <r>
    <s v="E07000215"/>
    <s v="Tandridge"/>
    <s v="E12000008"/>
    <x v="0"/>
    <n v="59"/>
    <n v="27"/>
    <n v="26"/>
    <n v="39"/>
    <n v="12692"/>
    <n v="9916"/>
    <n v="4844"/>
    <n v="6323"/>
  </r>
  <r>
    <s v="E07000045"/>
    <s v="Teignbridge"/>
    <s v="E12000009"/>
    <x v="6"/>
    <n v="71"/>
    <n v="9"/>
    <n v="46"/>
    <n v="22"/>
    <n v="22214"/>
    <n v="15003"/>
    <n v="13183"/>
    <n v="4916"/>
  </r>
  <r>
    <s v="E06000020"/>
    <s v="Telford and Wrekin"/>
    <s v="E12000005"/>
    <x v="7"/>
    <n v="37"/>
    <n v="13"/>
    <n v="36"/>
    <n v="26"/>
    <n v="23899"/>
    <n v="29065"/>
    <n v="15539"/>
    <n v="6492"/>
  </r>
  <r>
    <s v="E07000076"/>
    <s v="Tendring"/>
    <s v="E12000006"/>
    <x v="3"/>
    <n v="62"/>
    <n v="12"/>
    <n v="47"/>
    <n v="28"/>
    <n v="26999"/>
    <n v="21191"/>
    <n v="7435"/>
    <n v="8387"/>
  </r>
  <r>
    <s v="E07000093"/>
    <s v="Test Valley"/>
    <s v="E12000008"/>
    <x v="0"/>
    <n v="31"/>
    <n v="51"/>
    <n v="34"/>
    <n v="36"/>
    <n v="20554"/>
    <n v="14714"/>
    <n v="11883"/>
    <n v="6042"/>
  </r>
  <r>
    <s v="E07000083"/>
    <s v="Tewkesbury"/>
    <s v="E12000009"/>
    <x v="6"/>
    <n v="22"/>
    <n v="18"/>
    <n v="26"/>
    <n v="34"/>
    <n v="14625"/>
    <n v="14240"/>
    <n v="7458"/>
    <n v="3346"/>
  </r>
  <r>
    <s v="E07000114"/>
    <s v="Thanet"/>
    <s v="E12000008"/>
    <x v="0"/>
    <n v="11"/>
    <n v="21"/>
    <n v="20"/>
    <n v="11"/>
    <n v="12622"/>
    <n v="18441"/>
    <n v="13778"/>
    <n v="10978"/>
  </r>
  <r>
    <s v="E07000102"/>
    <s v="Three Rivers"/>
    <s v="E12000006"/>
    <x v="3"/>
    <n v="23"/>
    <n v="26"/>
    <n v="39"/>
    <n v="38"/>
    <n v="9584"/>
    <n v="12976"/>
    <n v="6801"/>
    <n v="6308"/>
  </r>
  <r>
    <s v="E06000034"/>
    <s v="Thurrock"/>
    <s v="E12000006"/>
    <x v="3"/>
    <n v="27"/>
    <n v="13"/>
    <n v="36"/>
    <n v="30"/>
    <n v="8295"/>
    <n v="22883"/>
    <n v="19405"/>
    <n v="14411"/>
  </r>
  <r>
    <s v="E07000115"/>
    <s v="Tonbridge and Malling"/>
    <s v="E12000008"/>
    <x v="0"/>
    <n v="38"/>
    <n v="26"/>
    <n v="36"/>
    <n v="33"/>
    <n v="14478"/>
    <n v="19843"/>
    <n v="11506"/>
    <n v="6261"/>
  </r>
  <r>
    <s v="E06000027"/>
    <s v="Torbay"/>
    <s v="E12000009"/>
    <x v="6"/>
    <n v="12"/>
    <n v="4"/>
    <n v="18"/>
    <n v="26"/>
    <n v="14125"/>
    <n v="15617"/>
    <n v="14226"/>
    <n v="10818"/>
  </r>
  <r>
    <s v="W06000020"/>
    <s v="Torfaen"/>
    <s v="W92000004"/>
    <x v="8"/>
    <n v="35"/>
    <n v="4"/>
    <n v="7"/>
    <n v="24"/>
    <n v="8061"/>
    <n v="11220"/>
    <n v="16130"/>
    <n v="4193"/>
  </r>
  <r>
    <s v="E07000046"/>
    <s v="Torridge"/>
    <s v="E12000009"/>
    <x v="6"/>
    <n v="1"/>
    <n v="108"/>
    <n v="0"/>
    <n v="11"/>
    <n v="13191"/>
    <n v="6974"/>
    <n v="7037"/>
    <n v="1816"/>
  </r>
  <r>
    <s v="E09000030"/>
    <s v="Tower Hamlets"/>
    <s v="E12000007"/>
    <x v="4"/>
    <n v="28"/>
    <n v="35"/>
    <n v="78"/>
    <n v="26"/>
    <n v="1127"/>
    <n v="2744"/>
    <n v="10654"/>
    <n v="97258"/>
  </r>
  <r>
    <s v="E08000009"/>
    <s v="Trafford"/>
    <s v="E12000002"/>
    <x v="1"/>
    <n v="20"/>
    <n v="30"/>
    <n v="27"/>
    <n v="31"/>
    <n v="14601"/>
    <n v="42193"/>
    <n v="19976"/>
    <n v="16236"/>
  </r>
  <r>
    <s v="E07000116"/>
    <s v="Tunbridge Wells"/>
    <s v="E12000008"/>
    <x v="0"/>
    <n v="32"/>
    <n v="4"/>
    <n v="19"/>
    <n v="21"/>
    <n v="13128"/>
    <n v="14606"/>
    <n v="8381"/>
    <n v="7919"/>
  </r>
  <r>
    <s v="E07000077"/>
    <s v="Uttlesford"/>
    <s v="E12000006"/>
    <x v="3"/>
    <n v="52"/>
    <n v="14"/>
    <n v="62"/>
    <n v="37"/>
    <n v="15507"/>
    <n v="11427"/>
    <n v="5803"/>
    <n v="3159"/>
  </r>
  <r>
    <s v="W06000014"/>
    <s v="Vale of Glamorgan"/>
    <s v="W92000004"/>
    <x v="8"/>
    <n v="63"/>
    <n v="28"/>
    <n v="94"/>
    <n v="71"/>
    <n v="15949"/>
    <n v="17532"/>
    <n v="15091"/>
    <n v="6333"/>
  </r>
  <r>
    <s v="E07000180"/>
    <s v="Vale of White Horse"/>
    <s v="E12000008"/>
    <x v="0"/>
    <n v="39"/>
    <n v="18"/>
    <n v="68"/>
    <n v="43"/>
    <n v="21151"/>
    <n v="17558"/>
    <n v="10387"/>
    <n v="6387"/>
  </r>
  <r>
    <s v="E08000036"/>
    <s v="Wakefield"/>
    <s v="E12000003"/>
    <x v="5"/>
    <n v="2"/>
    <n v="102"/>
    <n v="16"/>
    <n v="60"/>
    <n v="34197"/>
    <n v="68246"/>
    <n v="33718"/>
    <n v="13856"/>
  </r>
  <r>
    <s v="E08000030"/>
    <s v="Walsall"/>
    <s v="E12000005"/>
    <x v="7"/>
    <n v="5"/>
    <n v="181"/>
    <n v="8"/>
    <n v="60"/>
    <n v="20550"/>
    <n v="48092"/>
    <n v="23982"/>
    <n v="17027"/>
  </r>
  <r>
    <s v="E09000031"/>
    <s v="Waltham Forest"/>
    <s v="E12000007"/>
    <x v="4"/>
    <n v="38"/>
    <n v="11"/>
    <n v="67"/>
    <n v="51"/>
    <n v="4241"/>
    <n v="16840"/>
    <n v="35667"/>
    <n v="31555"/>
  </r>
  <r>
    <s v="E09000032"/>
    <s v="Wandsworth"/>
    <s v="E12000007"/>
    <x v="4"/>
    <n v="34"/>
    <n v="21"/>
    <n v="34"/>
    <n v="27"/>
    <n v="3031"/>
    <n v="9640"/>
    <n v="30521"/>
    <n v="66056"/>
  </r>
  <r>
    <s v="E06000007"/>
    <s v="Warrington"/>
    <s v="E12000002"/>
    <x v="1"/>
    <n v="9"/>
    <n v="24"/>
    <n v="10"/>
    <n v="29"/>
    <n v="22273"/>
    <n v="36508"/>
    <n v="20642"/>
    <n v="9294"/>
  </r>
  <r>
    <s v="E07000222"/>
    <s v="Warwick"/>
    <s v="E12000005"/>
    <x v="7"/>
    <n v="27"/>
    <n v="26"/>
    <n v="15"/>
    <n v="20"/>
    <n v="16000"/>
    <n v="20010"/>
    <n v="13086"/>
    <n v="10235"/>
  </r>
  <r>
    <s v="E07000103"/>
    <s v="Watford"/>
    <s v="E12000006"/>
    <x v="3"/>
    <n v="63"/>
    <n v="24"/>
    <n v="40"/>
    <n v="23"/>
    <n v="4152"/>
    <n v="11135"/>
    <n v="9839"/>
    <n v="11410"/>
  </r>
  <r>
    <s v="E07000216"/>
    <s v="Waverley"/>
    <s v="E12000008"/>
    <x v="0"/>
    <n v="14"/>
    <n v="18"/>
    <n v="15"/>
    <n v="21"/>
    <n v="21167"/>
    <n v="14422"/>
    <n v="7463"/>
    <n v="6934"/>
  </r>
  <r>
    <s v="E07000065"/>
    <s v="Wealden"/>
    <s v="E12000008"/>
    <x v="0"/>
    <n v="32"/>
    <n v="28"/>
    <n v="32"/>
    <n v="21"/>
    <n v="29838"/>
    <n v="21164"/>
    <n v="8554"/>
    <n v="5909"/>
  </r>
  <r>
    <s v="E07000241"/>
    <s v="Welwyn Hatfield"/>
    <s v="E12000006"/>
    <x v="3"/>
    <n v="18"/>
    <n v="4"/>
    <n v="22"/>
    <n v="18"/>
    <n v="9217"/>
    <n v="11254"/>
    <n v="14814"/>
    <n v="9820"/>
  </r>
  <r>
    <s v="E06000037"/>
    <s v="West Berkshire"/>
    <s v="E12000008"/>
    <x v="0"/>
    <n v="29"/>
    <n v="13"/>
    <n v="37"/>
    <n v="24"/>
    <n v="22031"/>
    <n v="21690"/>
    <n v="11369"/>
    <n v="8882"/>
  </r>
  <r>
    <s v="E07000047"/>
    <s v="West Devon"/>
    <s v="E12000009"/>
    <x v="6"/>
    <n v="56"/>
    <n v="1"/>
    <n v="16"/>
    <n v="16"/>
    <n v="10702"/>
    <n v="6570"/>
    <n v="4948"/>
    <n v="1552"/>
  </r>
  <r>
    <s v="E07000127"/>
    <s v="West Lancashire"/>
    <s v="E12000002"/>
    <x v="1"/>
    <n v="107"/>
    <n v="30"/>
    <n v="94"/>
    <n v="81"/>
    <n v="14794"/>
    <n v="18277"/>
    <n v="10184"/>
    <n v="4049"/>
  </r>
  <r>
    <s v="E07000142"/>
    <s v="West Lindsey"/>
    <s v="E12000004"/>
    <x v="2"/>
    <n v="0"/>
    <n v="0"/>
    <n v="0"/>
    <n v="0"/>
    <n v="20995"/>
    <n v="11472"/>
    <n v="7014"/>
    <n v="1554"/>
  </r>
  <r>
    <s v="E06000062"/>
    <s v="West Northamptonshire "/>
    <s v="E12000004"/>
    <x v="2"/>
    <n v="79"/>
    <n v="15"/>
    <n v="61"/>
    <n v="48"/>
    <n v="54696"/>
    <n v="54581"/>
    <n v="39859"/>
    <n v="18663"/>
  </r>
  <r>
    <s v="E07000181"/>
    <s v="West Oxfordshire"/>
    <s v="E12000008"/>
    <x v="0"/>
    <n v="53"/>
    <n v="31"/>
    <n v="62"/>
    <n v="73"/>
    <n v="16180"/>
    <n v="16129"/>
    <n v="10215"/>
    <n v="3995"/>
  </r>
  <r>
    <s v="E07000245"/>
    <s v="West Suffolk"/>
    <s v="E12000006"/>
    <x v="3"/>
    <n v="43"/>
    <n v="16"/>
    <n v="99"/>
    <n v="81"/>
    <n v="27589"/>
    <n v="22471"/>
    <n v="18429"/>
    <n v="8129"/>
  </r>
  <r>
    <s v="E09000033"/>
    <s v="Westminster"/>
    <s v="E12000007"/>
    <x v="4"/>
    <n v="43"/>
    <n v="14"/>
    <n v="32"/>
    <n v="21"/>
    <n v="1047"/>
    <n v="1735"/>
    <n v="6849"/>
    <n v="66514"/>
  </r>
  <r>
    <s v="E08000010"/>
    <s v="Wigan"/>
    <s v="E12000002"/>
    <x v="1"/>
    <n v="27"/>
    <n v="22"/>
    <n v="23"/>
    <n v="28"/>
    <n v="27450"/>
    <n v="65250"/>
    <n v="37347"/>
    <n v="10604"/>
  </r>
  <r>
    <s v="E06000054"/>
    <s v="Wiltshire"/>
    <s v="E12000009"/>
    <x v="6"/>
    <n v="40"/>
    <n v="35"/>
    <n v="106"/>
    <n v="73"/>
    <n v="75628"/>
    <n v="68361"/>
    <n v="44590"/>
    <n v="19107"/>
  </r>
  <r>
    <s v="E07000094"/>
    <s v="Winchester"/>
    <s v="E12000008"/>
    <x v="0"/>
    <n v="19"/>
    <n v="21"/>
    <n v="19"/>
    <n v="16"/>
    <n v="18714"/>
    <n v="13334"/>
    <n v="10372"/>
    <n v="6743"/>
  </r>
  <r>
    <s v="E06000040"/>
    <s v="Windsor and Maidenhead"/>
    <s v="E12000008"/>
    <x v="0"/>
    <n v="53"/>
    <n v="23"/>
    <n v="35"/>
    <n v="22"/>
    <n v="18704"/>
    <n v="15929"/>
    <n v="10908"/>
    <n v="12168"/>
  </r>
  <r>
    <s v="E08000015"/>
    <s v="Wirral"/>
    <s v="E12000002"/>
    <x v="1"/>
    <n v="20"/>
    <n v="15"/>
    <n v="56"/>
    <n v="19"/>
    <n v="24892"/>
    <n v="59592"/>
    <n v="33594"/>
    <n v="16980"/>
  </r>
  <r>
    <s v="E07000217"/>
    <s v="Woking"/>
    <s v="E12000008"/>
    <x v="0"/>
    <n v="20"/>
    <n v="9"/>
    <n v="33"/>
    <n v="18"/>
    <n v="12637"/>
    <n v="10246"/>
    <n v="7661"/>
    <n v="9413"/>
  </r>
  <r>
    <s v="E06000041"/>
    <s v="Wokingham"/>
    <s v="E12000008"/>
    <x v="0"/>
    <n v="26"/>
    <n v="39"/>
    <n v="24"/>
    <n v="25"/>
    <n v="29512"/>
    <n v="20178"/>
    <n v="9938"/>
    <n v="7625"/>
  </r>
  <r>
    <s v="E08000031"/>
    <s v="Wolverhampton"/>
    <s v="E12000005"/>
    <x v="7"/>
    <n v="53"/>
    <n v="6"/>
    <n v="50"/>
    <n v="32"/>
    <n v="17727"/>
    <n v="48334"/>
    <n v="17276"/>
    <n v="18296"/>
  </r>
  <r>
    <s v="E07000237"/>
    <s v="Worcester"/>
    <s v="E12000005"/>
    <x v="7"/>
    <n v="48"/>
    <n v="10"/>
    <n v="32"/>
    <n v="25"/>
    <n v="9910"/>
    <n v="15668"/>
    <n v="9659"/>
    <n v="7454"/>
  </r>
  <r>
    <s v="E07000229"/>
    <s v="Worthing"/>
    <s v="E12000008"/>
    <x v="0"/>
    <n v="60"/>
    <n v="5"/>
    <n v="30"/>
    <n v="19"/>
    <n v="10539"/>
    <n v="11725"/>
    <n v="9788"/>
    <n v="11817"/>
  </r>
  <r>
    <s v="W06000006"/>
    <s v="Wrexham"/>
    <s v="W92000004"/>
    <x v="8"/>
    <n v="0"/>
    <n v="2"/>
    <n v="0"/>
    <n v="0"/>
    <n v="18316"/>
    <n v="21801"/>
    <n v="11087"/>
    <n v="5647"/>
  </r>
  <r>
    <s v="E07000238"/>
    <s v="Wychavon"/>
    <s v="E12000005"/>
    <x v="7"/>
    <n v="35"/>
    <n v="4"/>
    <n v="27"/>
    <n v="21"/>
    <n v="23809"/>
    <n v="17665"/>
    <n v="9138"/>
    <n v="4518"/>
  </r>
  <r>
    <s v="E07000128"/>
    <s v="Wyre"/>
    <s v="E12000002"/>
    <x v="1"/>
    <n v="37"/>
    <n v="18"/>
    <n v="45"/>
    <n v="32"/>
    <n v="15200"/>
    <n v="20436"/>
    <n v="8738"/>
    <n v="3717"/>
  </r>
  <r>
    <s v="E07000239"/>
    <s v="Wyre Forest"/>
    <s v="E12000005"/>
    <x v="7"/>
    <n v="11681"/>
    <n v="8997"/>
    <n v="13014"/>
    <n v="12633"/>
    <n v="13347"/>
    <n v="16844"/>
    <n v="8342"/>
    <n v="4455"/>
  </r>
  <r>
    <s v="E06000014"/>
    <s v="York"/>
    <s v="E12000003"/>
    <x v="5"/>
    <n v="0"/>
    <n v="0"/>
    <n v="0"/>
    <n v="0"/>
    <n v="19192"/>
    <n v="30614"/>
    <n v="20365"/>
    <n v="1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D1B25-69CF-4990-A810-CDDD4B1BD721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0" firstDataRow="1" firstDataCol="1"/>
  <pivotFields count="8">
    <pivotField showAll="0"/>
    <pivotField showAll="0"/>
    <pivotField showAll="0"/>
    <pivotField axis="axisRow" showAll="0">
      <items count="11">
        <item x="3"/>
        <item x="2"/>
        <item x="4"/>
        <item x="9"/>
        <item x="1"/>
        <item x="0"/>
        <item x="6"/>
        <item x="8"/>
        <item x="7"/>
        <item x="5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old_D" fld="4" baseField="0" baseItem="0"/>
    <dataField name="Sum of sold_F" fld="5" baseField="0" baseItem="0"/>
    <dataField name="Sum of sold_S" fld="6" baseField="0" baseItem="0"/>
    <dataField name="Sum of sold_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55221-170E-4309-9FD8-89DC0D970404}" name="PivotTable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0" firstDataRow="1" firstDataCol="1"/>
  <pivotFields count="12">
    <pivotField showAll="0"/>
    <pivotField showAll="0"/>
    <pivotField showAll="0"/>
    <pivotField axis="axisRow" showAll="0">
      <items count="11">
        <item x="3"/>
        <item x="2"/>
        <item x="4"/>
        <item x="9"/>
        <item x="1"/>
        <item x="0"/>
        <item x="6"/>
        <item x="8"/>
        <item x="7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tached" fld="8" baseField="0" baseItem="0"/>
    <dataField name="Sum of semi-detached" fld="9" baseField="0" baseItem="0"/>
    <dataField name="Sum of terraced" fld="10" baseField="0" baseItem="0"/>
    <dataField name="Sum of flats/maisonett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22A7F-1EB1-4BBC-9A08-811AB4AFD86D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E13" firstHeaderRow="0" firstDataRow="1" firstDataCol="1"/>
  <pivotFields count="12">
    <pivotField showAll="0"/>
    <pivotField showAll="0"/>
    <pivotField showAll="0"/>
    <pivotField axis="axisRow" showAll="0">
      <items count="11">
        <item x="3"/>
        <item x="2"/>
        <item x="4"/>
        <item x="9"/>
        <item x="1"/>
        <item x="0"/>
        <item x="6"/>
        <item x="8"/>
        <item x="7"/>
        <item x="5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um of D" fld="4" baseField="0" baseItem="0"/>
    <dataField name="Sum of Sum of F" fld="5" baseField="0" baseItem="0"/>
    <dataField name="Sum of sum of S" fld="6" baseField="0" baseItem="0"/>
    <dataField name="Sum of Sum of 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9F4E0-32AE-480E-A6F3-D621B58AD8C0}" name="PivotTable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E13" firstHeaderRow="0" firstDataRow="1" firstDataCol="1"/>
  <pivotFields count="12">
    <pivotField showAll="0"/>
    <pivotField showAll="0"/>
    <pivotField showAll="0"/>
    <pivotField axis="axisRow" showAll="0">
      <items count="11">
        <item x="3"/>
        <item x="2"/>
        <item x="4"/>
        <item x="9"/>
        <item x="1"/>
        <item x="0"/>
        <item x="6"/>
        <item x="8"/>
        <item x="7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tached" fld="8" baseField="0" baseItem="0"/>
    <dataField name="Sum of semi-detached" fld="9" baseField="0" baseItem="0"/>
    <dataField name="Sum of terraced" fld="10" baseField="0" baseItem="0"/>
    <dataField name="Sum of flats/maisonett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ADF0-0687-4743-B24B-D991F4654186}">
  <dimension ref="A3:E14"/>
  <sheetViews>
    <sheetView workbookViewId="0">
      <selection activeCell="C5" sqref="C5"/>
    </sheetView>
  </sheetViews>
  <sheetFormatPr defaultRowHeight="14.4"/>
  <cols>
    <col min="1" max="1" width="22.6640625" bestFit="1" customWidth="1"/>
    <col min="2" max="2" width="13.21875" bestFit="1" customWidth="1"/>
    <col min="3" max="3" width="12.77734375" bestFit="1" customWidth="1"/>
    <col min="4" max="5" width="12.88671875" bestFit="1" customWidth="1"/>
  </cols>
  <sheetData>
    <row r="3" spans="1:5">
      <c r="A3" s="6" t="s">
        <v>686</v>
      </c>
      <c r="B3" t="s">
        <v>691</v>
      </c>
      <c r="C3" t="s">
        <v>692</v>
      </c>
      <c r="D3" t="s">
        <v>693</v>
      </c>
      <c r="E3" t="s">
        <v>694</v>
      </c>
    </row>
    <row r="4" spans="1:5">
      <c r="A4" s="7" t="s">
        <v>71</v>
      </c>
      <c r="B4" s="8">
        <v>1436</v>
      </c>
      <c r="C4" s="8">
        <v>872</v>
      </c>
      <c r="D4" s="8">
        <v>1576</v>
      </c>
      <c r="E4" s="8">
        <v>1415</v>
      </c>
    </row>
    <row r="5" spans="1:5">
      <c r="A5" s="7" t="s">
        <v>37</v>
      </c>
      <c r="B5" s="8">
        <v>1197</v>
      </c>
      <c r="C5" s="8">
        <v>540</v>
      </c>
      <c r="D5" s="8">
        <v>1224</v>
      </c>
      <c r="E5" s="8">
        <v>1135</v>
      </c>
    </row>
    <row r="6" spans="1:5">
      <c r="A6" s="7" t="s">
        <v>554</v>
      </c>
      <c r="B6" s="8">
        <v>907</v>
      </c>
      <c r="C6" s="8">
        <v>1385</v>
      </c>
      <c r="D6" s="8">
        <v>1210</v>
      </c>
      <c r="E6" s="8">
        <v>1424</v>
      </c>
    </row>
    <row r="7" spans="1:5">
      <c r="A7" s="7" t="s">
        <v>3</v>
      </c>
      <c r="B7" s="8">
        <v>438</v>
      </c>
      <c r="C7" s="8">
        <v>276</v>
      </c>
      <c r="D7" s="8">
        <v>528</v>
      </c>
      <c r="E7" s="8">
        <v>418</v>
      </c>
    </row>
    <row r="8" spans="1:5">
      <c r="A8" s="7" t="s">
        <v>15</v>
      </c>
      <c r="B8" s="8">
        <v>1294</v>
      </c>
      <c r="C8" s="8">
        <v>654</v>
      </c>
      <c r="D8" s="8">
        <v>1695</v>
      </c>
      <c r="E8" s="8">
        <v>1438</v>
      </c>
    </row>
    <row r="9" spans="1:5">
      <c r="A9" s="7" t="s">
        <v>81</v>
      </c>
      <c r="B9" s="8">
        <v>2392</v>
      </c>
      <c r="C9" s="8">
        <v>1935</v>
      </c>
      <c r="D9" s="8">
        <v>2547</v>
      </c>
      <c r="E9" s="8">
        <v>2468</v>
      </c>
    </row>
    <row r="10" spans="1:5">
      <c r="A10" s="7" t="s">
        <v>55</v>
      </c>
      <c r="B10" s="8">
        <v>1090</v>
      </c>
      <c r="C10" s="8">
        <v>1104</v>
      </c>
      <c r="D10" s="8">
        <v>1049</v>
      </c>
      <c r="E10" s="8">
        <v>1057</v>
      </c>
    </row>
    <row r="11" spans="1:5">
      <c r="A11" s="7" t="s">
        <v>622</v>
      </c>
      <c r="B11" s="8">
        <v>573</v>
      </c>
      <c r="C11" s="8">
        <v>408</v>
      </c>
      <c r="D11" s="8">
        <v>699</v>
      </c>
      <c r="E11" s="8">
        <v>929</v>
      </c>
    </row>
    <row r="12" spans="1:5">
      <c r="A12" s="7" t="s">
        <v>47</v>
      </c>
      <c r="B12" s="8">
        <v>12675</v>
      </c>
      <c r="C12" s="8">
        <v>9738</v>
      </c>
      <c r="D12" s="8">
        <v>14097</v>
      </c>
      <c r="E12" s="8">
        <v>13602</v>
      </c>
    </row>
    <row r="13" spans="1:5">
      <c r="A13" s="7" t="s">
        <v>25</v>
      </c>
      <c r="B13" s="8">
        <v>644</v>
      </c>
      <c r="C13" s="8">
        <v>777</v>
      </c>
      <c r="D13" s="8">
        <v>630</v>
      </c>
      <c r="E13" s="8">
        <v>766</v>
      </c>
    </row>
    <row r="14" spans="1:5">
      <c r="A14" s="7" t="s">
        <v>687</v>
      </c>
      <c r="B14" s="8">
        <v>22646</v>
      </c>
      <c r="C14" s="8">
        <v>17689</v>
      </c>
      <c r="D14" s="8">
        <v>25255</v>
      </c>
      <c r="E14" s="8">
        <v>24652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3CF0-FB5B-42BE-881E-12618C895ED7}">
  <dimension ref="A3:M32"/>
  <sheetViews>
    <sheetView zoomScaleNormal="100" workbookViewId="0">
      <selection activeCell="H20" sqref="H20"/>
    </sheetView>
  </sheetViews>
  <sheetFormatPr defaultRowHeight="14.4"/>
  <cols>
    <col min="1" max="1" width="22.6640625" bestFit="1" customWidth="1"/>
    <col min="2" max="2" width="15.44140625" bestFit="1" customWidth="1"/>
    <col min="3" max="3" width="20.109375" bestFit="1" customWidth="1"/>
    <col min="4" max="4" width="14.5546875" bestFit="1" customWidth="1"/>
    <col min="5" max="5" width="22.44140625" bestFit="1" customWidth="1"/>
    <col min="6" max="6" width="15.44140625" bestFit="1" customWidth="1"/>
    <col min="7" max="7" width="20.109375" bestFit="1" customWidth="1"/>
    <col min="8" max="8" width="14.5546875" bestFit="1" customWidth="1"/>
    <col min="9" max="9" width="22.44140625" bestFit="1" customWidth="1"/>
  </cols>
  <sheetData>
    <row r="3" spans="1:13">
      <c r="A3" s="6" t="s">
        <v>686</v>
      </c>
      <c r="B3" t="s">
        <v>699</v>
      </c>
      <c r="C3" t="s">
        <v>700</v>
      </c>
      <c r="D3" t="s">
        <v>701</v>
      </c>
      <c r="E3" t="s">
        <v>702</v>
      </c>
      <c r="J3" s="9" t="s">
        <v>703</v>
      </c>
      <c r="K3" s="9" t="s">
        <v>704</v>
      </c>
      <c r="L3" s="9" t="s">
        <v>705</v>
      </c>
      <c r="M3" s="9" t="s">
        <v>706</v>
      </c>
    </row>
    <row r="4" spans="1:13">
      <c r="A4" s="7" t="s">
        <v>71</v>
      </c>
      <c r="B4" s="8">
        <v>776813</v>
      </c>
      <c r="C4" s="8">
        <v>816068</v>
      </c>
      <c r="D4" s="8">
        <v>557952</v>
      </c>
      <c r="E4" s="8">
        <v>381096</v>
      </c>
      <c r="J4" s="10" t="e">
        <f>B4/F4</f>
        <v>#DIV/0!</v>
      </c>
      <c r="K4" s="10" t="e">
        <f>C4/I4</f>
        <v>#DIV/0!</v>
      </c>
      <c r="L4" s="10" t="e">
        <f>D4/G4</f>
        <v>#DIV/0!</v>
      </c>
      <c r="M4" s="10" t="e">
        <f>E4/H4</f>
        <v>#DIV/0!</v>
      </c>
    </row>
    <row r="5" spans="1:13">
      <c r="A5" s="7" t="s">
        <v>37</v>
      </c>
      <c r="B5" s="8">
        <v>676022</v>
      </c>
      <c r="C5" s="8">
        <v>727739</v>
      </c>
      <c r="D5" s="8">
        <v>392643</v>
      </c>
      <c r="E5" s="8">
        <v>180577</v>
      </c>
      <c r="J5" s="10" t="e">
        <f t="shared" ref="J5:J14" si="0">B5/F5</f>
        <v>#DIV/0!</v>
      </c>
      <c r="K5" s="10" t="e">
        <f t="shared" ref="K5:K14" si="1">C5/I5</f>
        <v>#DIV/0!</v>
      </c>
      <c r="L5" s="10" t="e">
        <f t="shared" ref="L5:L14" si="2">D5/G5</f>
        <v>#DIV/0!</v>
      </c>
      <c r="M5" s="10" t="e">
        <f t="shared" ref="M5:M14" si="3">E5/H5</f>
        <v>#DIV/0!</v>
      </c>
    </row>
    <row r="6" spans="1:13">
      <c r="A6" s="7" t="s">
        <v>554</v>
      </c>
      <c r="B6" s="8">
        <v>208078</v>
      </c>
      <c r="C6" s="8">
        <v>636077</v>
      </c>
      <c r="D6" s="8">
        <v>727671</v>
      </c>
      <c r="E6" s="8">
        <v>1380140</v>
      </c>
      <c r="J6" s="10" t="e">
        <f t="shared" si="0"/>
        <v>#DIV/0!</v>
      </c>
      <c r="K6" s="10" t="e">
        <f t="shared" si="1"/>
        <v>#DIV/0!</v>
      </c>
      <c r="L6" s="10" t="e">
        <f t="shared" si="2"/>
        <v>#DIV/0!</v>
      </c>
      <c r="M6" s="10" t="e">
        <f t="shared" si="3"/>
        <v>#DIV/0!</v>
      </c>
    </row>
    <row r="7" spans="1:13">
      <c r="A7" s="7" t="s">
        <v>3</v>
      </c>
      <c r="B7" s="8">
        <v>207944</v>
      </c>
      <c r="C7" s="8">
        <v>470848</v>
      </c>
      <c r="D7" s="8">
        <v>326453</v>
      </c>
      <c r="E7" s="8">
        <v>133228</v>
      </c>
      <c r="J7" s="10" t="e">
        <f t="shared" si="0"/>
        <v>#DIV/0!</v>
      </c>
      <c r="K7" s="10" t="e">
        <f t="shared" si="1"/>
        <v>#DIV/0!</v>
      </c>
      <c r="L7" s="10" t="e">
        <f t="shared" si="2"/>
        <v>#DIV/0!</v>
      </c>
      <c r="M7" s="10" t="e">
        <f t="shared" si="3"/>
        <v>#DIV/0!</v>
      </c>
    </row>
    <row r="8" spans="1:13">
      <c r="A8" s="7" t="s">
        <v>15</v>
      </c>
      <c r="B8" s="8">
        <v>599838</v>
      </c>
      <c r="C8" s="8">
        <v>1160270</v>
      </c>
      <c r="D8" s="8">
        <v>886330</v>
      </c>
      <c r="E8" s="8">
        <v>394014</v>
      </c>
      <c r="J8" s="10" t="e">
        <f t="shared" si="0"/>
        <v>#DIV/0!</v>
      </c>
      <c r="K8" s="10" t="e">
        <f t="shared" si="1"/>
        <v>#DIV/0!</v>
      </c>
      <c r="L8" s="10" t="e">
        <f t="shared" si="2"/>
        <v>#DIV/0!</v>
      </c>
      <c r="M8" s="10" t="e">
        <f t="shared" si="3"/>
        <v>#DIV/0!</v>
      </c>
    </row>
    <row r="9" spans="1:13">
      <c r="A9" s="7" t="s">
        <v>81</v>
      </c>
      <c r="B9" s="8">
        <v>1065035</v>
      </c>
      <c r="C9" s="8">
        <v>1082661</v>
      </c>
      <c r="D9" s="8">
        <v>812587</v>
      </c>
      <c r="E9" s="8">
        <v>640091</v>
      </c>
      <c r="J9" s="10" t="e">
        <f t="shared" si="0"/>
        <v>#DIV/0!</v>
      </c>
      <c r="K9" s="10" t="e">
        <f t="shared" si="1"/>
        <v>#DIV/0!</v>
      </c>
      <c r="L9" s="10" t="e">
        <f t="shared" si="2"/>
        <v>#DIV/0!</v>
      </c>
      <c r="M9" s="10" t="e">
        <f t="shared" si="3"/>
        <v>#DIV/0!</v>
      </c>
    </row>
    <row r="10" spans="1:13">
      <c r="A10" s="7" t="s">
        <v>55</v>
      </c>
      <c r="B10" s="8">
        <v>734776</v>
      </c>
      <c r="C10" s="8">
        <v>694153</v>
      </c>
      <c r="D10" s="8">
        <v>546602</v>
      </c>
      <c r="E10" s="8">
        <v>314382</v>
      </c>
      <c r="J10" s="10" t="e">
        <f t="shared" si="0"/>
        <v>#DIV/0!</v>
      </c>
      <c r="K10" s="10" t="e">
        <f t="shared" si="1"/>
        <v>#DIV/0!</v>
      </c>
      <c r="L10" s="10" t="e">
        <f t="shared" si="2"/>
        <v>#DIV/0!</v>
      </c>
      <c r="M10" s="10" t="e">
        <f t="shared" si="3"/>
        <v>#DIV/0!</v>
      </c>
    </row>
    <row r="11" spans="1:13">
      <c r="A11" s="7" t="s">
        <v>622</v>
      </c>
      <c r="B11" s="8">
        <v>384397</v>
      </c>
      <c r="C11" s="8">
        <v>431871</v>
      </c>
      <c r="D11" s="8">
        <v>358034</v>
      </c>
      <c r="E11" s="8">
        <v>126663</v>
      </c>
      <c r="J11" s="10" t="e">
        <f t="shared" si="0"/>
        <v>#DIV/0!</v>
      </c>
      <c r="K11" s="10" t="e">
        <f t="shared" si="1"/>
        <v>#DIV/0!</v>
      </c>
      <c r="L11" s="10" t="e">
        <f t="shared" si="2"/>
        <v>#DIV/0!</v>
      </c>
      <c r="M11" s="10" t="e">
        <f t="shared" si="3"/>
        <v>#DIV/0!</v>
      </c>
    </row>
    <row r="12" spans="1:13">
      <c r="A12" s="7" t="s">
        <v>47</v>
      </c>
      <c r="B12" s="8">
        <v>595851</v>
      </c>
      <c r="C12" s="8">
        <v>913117</v>
      </c>
      <c r="D12" s="8">
        <v>523411</v>
      </c>
      <c r="E12" s="8">
        <v>318415</v>
      </c>
      <c r="J12" s="10" t="e">
        <f t="shared" si="0"/>
        <v>#DIV/0!</v>
      </c>
      <c r="K12" s="10" t="e">
        <f t="shared" si="1"/>
        <v>#DIV/0!</v>
      </c>
      <c r="L12" s="10" t="e">
        <f t="shared" si="2"/>
        <v>#DIV/0!</v>
      </c>
      <c r="M12" s="10" t="e">
        <f t="shared" si="3"/>
        <v>#DIV/0!</v>
      </c>
    </row>
    <row r="13" spans="1:13">
      <c r="A13" s="7" t="s">
        <v>25</v>
      </c>
      <c r="B13" s="8">
        <v>504506</v>
      </c>
      <c r="C13" s="8">
        <v>877371</v>
      </c>
      <c r="D13" s="8">
        <v>607775</v>
      </c>
      <c r="E13" s="8">
        <v>257823</v>
      </c>
      <c r="J13" s="10" t="e">
        <f t="shared" si="0"/>
        <v>#DIV/0!</v>
      </c>
      <c r="K13" s="10" t="e">
        <f t="shared" si="1"/>
        <v>#DIV/0!</v>
      </c>
      <c r="L13" s="10" t="e">
        <f t="shared" si="2"/>
        <v>#DIV/0!</v>
      </c>
      <c r="M13" s="10" t="e">
        <f t="shared" si="3"/>
        <v>#DIV/0!</v>
      </c>
    </row>
    <row r="14" spans="1:13">
      <c r="A14" s="7" t="s">
        <v>687</v>
      </c>
      <c r="B14" s="8">
        <v>5753260</v>
      </c>
      <c r="C14" s="8">
        <v>7810175</v>
      </c>
      <c r="D14" s="8">
        <v>5739458</v>
      </c>
      <c r="E14" s="8">
        <v>4126429</v>
      </c>
      <c r="J14" s="10" t="e">
        <f t="shared" si="0"/>
        <v>#DIV/0!</v>
      </c>
      <c r="K14" s="10" t="e">
        <f t="shared" si="1"/>
        <v>#DIV/0!</v>
      </c>
      <c r="L14" s="10" t="e">
        <f t="shared" si="2"/>
        <v>#DIV/0!</v>
      </c>
      <c r="M14" s="10" t="e">
        <f t="shared" si="3"/>
        <v>#DIV/0!</v>
      </c>
    </row>
    <row r="26" spans="9:9">
      <c r="I26" s="5"/>
    </row>
    <row r="28" spans="9:9">
      <c r="I28" s="5"/>
    </row>
    <row r="30" spans="9:9">
      <c r="I30" s="5"/>
    </row>
    <row r="32" spans="9:9">
      <c r="I32" s="5"/>
    </row>
  </sheetData>
  <conditionalFormatting sqref="J3:J14">
    <cfRule type="top10" priority="14" percent="1" rank="1"/>
  </conditionalFormatting>
  <conditionalFormatting sqref="J4:J14">
    <cfRule type="cellIs" dxfId="12" priority="1" operator="greaterThan">
      <formula>0.01127</formula>
    </cfRule>
    <cfRule type="top10" dxfId="11" priority="5" percent="1" rank="10"/>
    <cfRule type="top10" dxfId="10" priority="6" percent="1" rank="10"/>
    <cfRule type="top10" dxfId="9" priority="13" percent="1" rank="10"/>
  </conditionalFormatting>
  <conditionalFormatting sqref="K4:K14">
    <cfRule type="cellIs" dxfId="8" priority="7" operator="greaterThan">
      <formula>0.01579</formula>
    </cfRule>
    <cfRule type="top10" dxfId="7" priority="8" percent="1" rank="10"/>
    <cfRule type="top10" dxfId="6" priority="9" percent="1" rank="10"/>
    <cfRule type="top10" dxfId="5" priority="10" percent="1" rank="10"/>
    <cfRule type="top10" dxfId="4" priority="12" percent="1" rank="10"/>
  </conditionalFormatting>
  <conditionalFormatting sqref="L4:L14">
    <cfRule type="cellIs" dxfId="3" priority="11" operator="greaterThan">
      <formula>0.00808</formula>
    </cfRule>
  </conditionalFormatting>
  <conditionalFormatting sqref="M4:M14">
    <cfRule type="cellIs" dxfId="2" priority="2" operator="greaterThan">
      <formula>0.01362</formula>
    </cfRule>
    <cfRule type="top10" dxfId="1" priority="3" percent="1" rank="10"/>
    <cfRule type="top10" dxfId="0" priority="4" percent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D859-1985-494D-BF73-108E9B4692D5}">
  <dimension ref="A1:E13"/>
  <sheetViews>
    <sheetView workbookViewId="0">
      <selection sqref="A1:E13"/>
    </sheetView>
  </sheetViews>
  <sheetFormatPr defaultRowHeight="14.4"/>
  <cols>
    <col min="1" max="1" width="22.6640625" bestFit="1" customWidth="1"/>
    <col min="2" max="2" width="15.21875" bestFit="1" customWidth="1"/>
    <col min="3" max="3" width="14.88671875" bestFit="1" customWidth="1"/>
    <col min="4" max="4" width="14.77734375" bestFit="1" customWidth="1"/>
    <col min="5" max="5" width="15" bestFit="1" customWidth="1"/>
  </cols>
  <sheetData>
    <row r="1" spans="1:5">
      <c r="B1" s="12" t="s">
        <v>712</v>
      </c>
      <c r="C1" s="11"/>
      <c r="D1" s="11"/>
      <c r="E1" s="11"/>
    </row>
    <row r="2" spans="1:5">
      <c r="A2" s="6" t="s">
        <v>686</v>
      </c>
      <c r="B2" t="s">
        <v>708</v>
      </c>
      <c r="C2" t="s">
        <v>709</v>
      </c>
      <c r="D2" t="s">
        <v>710</v>
      </c>
      <c r="E2" t="s">
        <v>711</v>
      </c>
    </row>
    <row r="3" spans="1:5">
      <c r="A3" s="7" t="s">
        <v>71</v>
      </c>
      <c r="B3" s="8">
        <v>1436</v>
      </c>
      <c r="C3" s="8">
        <v>872</v>
      </c>
      <c r="D3" s="8">
        <v>1576</v>
      </c>
      <c r="E3" s="8">
        <v>1415</v>
      </c>
    </row>
    <row r="4" spans="1:5">
      <c r="A4" s="7" t="s">
        <v>37</v>
      </c>
      <c r="B4" s="8">
        <v>1197</v>
      </c>
      <c r="C4" s="8">
        <v>540</v>
      </c>
      <c r="D4" s="8">
        <v>1224</v>
      </c>
      <c r="E4" s="8">
        <v>1135</v>
      </c>
    </row>
    <row r="5" spans="1:5">
      <c r="A5" s="7" t="s">
        <v>554</v>
      </c>
      <c r="B5" s="8">
        <v>907</v>
      </c>
      <c r="C5" s="8">
        <v>1385</v>
      </c>
      <c r="D5" s="8">
        <v>1210</v>
      </c>
      <c r="E5" s="8">
        <v>1424</v>
      </c>
    </row>
    <row r="6" spans="1:5">
      <c r="A6" s="7" t="s">
        <v>3</v>
      </c>
      <c r="B6" s="8">
        <v>438</v>
      </c>
      <c r="C6" s="8">
        <v>276</v>
      </c>
      <c r="D6" s="8">
        <v>528</v>
      </c>
      <c r="E6" s="8">
        <v>418</v>
      </c>
    </row>
    <row r="7" spans="1:5">
      <c r="A7" s="7" t="s">
        <v>15</v>
      </c>
      <c r="B7" s="8">
        <v>1294</v>
      </c>
      <c r="C7" s="8">
        <v>654</v>
      </c>
      <c r="D7" s="8">
        <v>1695</v>
      </c>
      <c r="E7" s="8">
        <v>1438</v>
      </c>
    </row>
    <row r="8" spans="1:5">
      <c r="A8" s="7" t="s">
        <v>81</v>
      </c>
      <c r="B8" s="8">
        <v>2392</v>
      </c>
      <c r="C8" s="8">
        <v>1935</v>
      </c>
      <c r="D8" s="8">
        <v>2547</v>
      </c>
      <c r="E8" s="8">
        <v>2468</v>
      </c>
    </row>
    <row r="9" spans="1:5">
      <c r="A9" s="7" t="s">
        <v>55</v>
      </c>
      <c r="B9" s="8">
        <v>1090</v>
      </c>
      <c r="C9" s="8">
        <v>1104</v>
      </c>
      <c r="D9" s="8">
        <v>1049</v>
      </c>
      <c r="E9" s="8">
        <v>1057</v>
      </c>
    </row>
    <row r="10" spans="1:5">
      <c r="A10" s="7" t="s">
        <v>622</v>
      </c>
      <c r="B10" s="8">
        <v>573</v>
      </c>
      <c r="C10" s="8">
        <v>408</v>
      </c>
      <c r="D10" s="8">
        <v>699</v>
      </c>
      <c r="E10" s="8">
        <v>929</v>
      </c>
    </row>
    <row r="11" spans="1:5">
      <c r="A11" s="7" t="s">
        <v>47</v>
      </c>
      <c r="B11" s="8">
        <v>12675</v>
      </c>
      <c r="C11" s="8">
        <v>9738</v>
      </c>
      <c r="D11" s="8">
        <v>14097</v>
      </c>
      <c r="E11" s="8">
        <v>13602</v>
      </c>
    </row>
    <row r="12" spans="1:5">
      <c r="A12" s="7" t="s">
        <v>25</v>
      </c>
      <c r="B12" s="8">
        <v>644</v>
      </c>
      <c r="C12" s="8">
        <v>777</v>
      </c>
      <c r="D12" s="8">
        <v>630</v>
      </c>
      <c r="E12" s="8">
        <v>766</v>
      </c>
    </row>
    <row r="13" spans="1:5">
      <c r="A13" s="7" t="s">
        <v>687</v>
      </c>
      <c r="B13" s="8">
        <v>22646</v>
      </c>
      <c r="C13" s="8">
        <v>17689</v>
      </c>
      <c r="D13" s="8">
        <v>25255</v>
      </c>
      <c r="E13" s="8">
        <v>24652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5B96-ECE2-473E-9D9B-38E0F8422347}">
  <dimension ref="A1:E13"/>
  <sheetViews>
    <sheetView tabSelected="1" workbookViewId="0">
      <selection sqref="A1:E13"/>
    </sheetView>
  </sheetViews>
  <sheetFormatPr defaultRowHeight="14.4"/>
  <cols>
    <col min="1" max="1" width="22.6640625" bestFit="1" customWidth="1"/>
    <col min="2" max="2" width="15.44140625" bestFit="1" customWidth="1"/>
    <col min="3" max="3" width="20.109375" bestFit="1" customWidth="1"/>
    <col min="4" max="4" width="14.5546875" bestFit="1" customWidth="1"/>
    <col min="5" max="5" width="22.44140625" bestFit="1" customWidth="1"/>
  </cols>
  <sheetData>
    <row r="1" spans="1:5">
      <c r="B1" s="12" t="s">
        <v>713</v>
      </c>
      <c r="C1" s="11"/>
      <c r="D1" s="11"/>
      <c r="E1" s="11"/>
    </row>
    <row r="2" spans="1:5">
      <c r="A2" s="6" t="s">
        <v>686</v>
      </c>
      <c r="B2" t="s">
        <v>699</v>
      </c>
      <c r="C2" t="s">
        <v>700</v>
      </c>
      <c r="D2" t="s">
        <v>701</v>
      </c>
      <c r="E2" t="s">
        <v>702</v>
      </c>
    </row>
    <row r="3" spans="1:5">
      <c r="A3" s="7" t="s">
        <v>71</v>
      </c>
      <c r="B3" s="8">
        <v>776813</v>
      </c>
      <c r="C3" s="8">
        <v>816068</v>
      </c>
      <c r="D3" s="8">
        <v>557952</v>
      </c>
      <c r="E3" s="8">
        <v>381096</v>
      </c>
    </row>
    <row r="4" spans="1:5">
      <c r="A4" s="7" t="s">
        <v>37</v>
      </c>
      <c r="B4" s="8">
        <v>676022</v>
      </c>
      <c r="C4" s="8">
        <v>727739</v>
      </c>
      <c r="D4" s="8">
        <v>392643</v>
      </c>
      <c r="E4" s="8">
        <v>180577</v>
      </c>
    </row>
    <row r="5" spans="1:5">
      <c r="A5" s="7" t="s">
        <v>554</v>
      </c>
      <c r="B5" s="8">
        <v>208078</v>
      </c>
      <c r="C5" s="8">
        <v>636077</v>
      </c>
      <c r="D5" s="8">
        <v>727671</v>
      </c>
      <c r="E5" s="8">
        <v>1380140</v>
      </c>
    </row>
    <row r="6" spans="1:5">
      <c r="A6" s="7" t="s">
        <v>3</v>
      </c>
      <c r="B6" s="8">
        <v>207944</v>
      </c>
      <c r="C6" s="8">
        <v>470848</v>
      </c>
      <c r="D6" s="8">
        <v>326453</v>
      </c>
      <c r="E6" s="8">
        <v>133228</v>
      </c>
    </row>
    <row r="7" spans="1:5">
      <c r="A7" s="7" t="s">
        <v>15</v>
      </c>
      <c r="B7" s="8">
        <v>599838</v>
      </c>
      <c r="C7" s="8">
        <v>1160270</v>
      </c>
      <c r="D7" s="8">
        <v>886330</v>
      </c>
      <c r="E7" s="8">
        <v>394014</v>
      </c>
    </row>
    <row r="8" spans="1:5">
      <c r="A8" s="7" t="s">
        <v>81</v>
      </c>
      <c r="B8" s="8">
        <v>1065035</v>
      </c>
      <c r="C8" s="8">
        <v>1082661</v>
      </c>
      <c r="D8" s="8">
        <v>812587</v>
      </c>
      <c r="E8" s="8">
        <v>640091</v>
      </c>
    </row>
    <row r="9" spans="1:5">
      <c r="A9" s="7" t="s">
        <v>55</v>
      </c>
      <c r="B9" s="8">
        <v>734776</v>
      </c>
      <c r="C9" s="8">
        <v>694153</v>
      </c>
      <c r="D9" s="8">
        <v>546602</v>
      </c>
      <c r="E9" s="8">
        <v>314382</v>
      </c>
    </row>
    <row r="10" spans="1:5">
      <c r="A10" s="7" t="s">
        <v>622</v>
      </c>
      <c r="B10" s="8">
        <v>384397</v>
      </c>
      <c r="C10" s="8">
        <v>431871</v>
      </c>
      <c r="D10" s="8">
        <v>358034</v>
      </c>
      <c r="E10" s="8">
        <v>126663</v>
      </c>
    </row>
    <row r="11" spans="1:5">
      <c r="A11" s="7" t="s">
        <v>47</v>
      </c>
      <c r="B11" s="8">
        <v>595851</v>
      </c>
      <c r="C11" s="8">
        <v>913117</v>
      </c>
      <c r="D11" s="8">
        <v>523411</v>
      </c>
      <c r="E11" s="8">
        <v>318415</v>
      </c>
    </row>
    <row r="12" spans="1:5">
      <c r="A12" s="7" t="s">
        <v>25</v>
      </c>
      <c r="B12" s="8">
        <v>504506</v>
      </c>
      <c r="C12" s="8">
        <v>877371</v>
      </c>
      <c r="D12" s="8">
        <v>607775</v>
      </c>
      <c r="E12" s="8">
        <v>257823</v>
      </c>
    </row>
    <row r="13" spans="1:5">
      <c r="A13" s="7" t="s">
        <v>687</v>
      </c>
      <c r="B13" s="8">
        <v>5753260</v>
      </c>
      <c r="C13" s="8">
        <v>7810175</v>
      </c>
      <c r="D13" s="8">
        <v>5739458</v>
      </c>
      <c r="E13" s="8">
        <v>4126429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2"/>
  <sheetViews>
    <sheetView workbookViewId="0">
      <selection activeCell="B21" sqref="A1:L332"/>
    </sheetView>
  </sheetViews>
  <sheetFormatPr defaultRowHeight="14.4"/>
  <cols>
    <col min="1" max="1" width="10.88671875" bestFit="1" customWidth="1"/>
    <col min="2" max="2" width="35.44140625" bestFit="1" customWidth="1"/>
    <col min="3" max="3" width="12" bestFit="1" customWidth="1"/>
    <col min="4" max="4" width="24.6640625" bestFit="1" customWidth="1"/>
    <col min="6" max="6" width="10.88671875" bestFit="1" customWidth="1"/>
    <col min="10" max="10" width="16.33203125" customWidth="1"/>
    <col min="12" max="12" width="15.77734375" customWidth="1"/>
  </cols>
  <sheetData>
    <row r="1" spans="1:12">
      <c r="A1" s="2" t="s">
        <v>682</v>
      </c>
      <c r="B1" s="2" t="s">
        <v>683</v>
      </c>
      <c r="C1" s="2" t="s">
        <v>684</v>
      </c>
      <c r="D1" s="2" t="s">
        <v>685</v>
      </c>
      <c r="E1" s="5" t="s">
        <v>688</v>
      </c>
      <c r="F1" s="5" t="s">
        <v>689</v>
      </c>
      <c r="G1" s="5" t="s">
        <v>707</v>
      </c>
      <c r="H1" s="5" t="s">
        <v>690</v>
      </c>
      <c r="I1" s="5" t="s">
        <v>698</v>
      </c>
      <c r="J1" s="5" t="s">
        <v>695</v>
      </c>
      <c r="K1" s="3" t="s">
        <v>696</v>
      </c>
      <c r="L1" s="5" t="s">
        <v>697</v>
      </c>
    </row>
    <row r="2" spans="1:12">
      <c r="A2" t="s">
        <v>445</v>
      </c>
      <c r="B2" t="s">
        <v>446</v>
      </c>
      <c r="C2" t="s">
        <v>80</v>
      </c>
      <c r="D2" t="s">
        <v>81</v>
      </c>
      <c r="E2" s="5">
        <f>IFERROR(_xlfn.XLOOKUP($B3,[1]Sheet1!$A:$A,[1]Sheet1!$B:$B),0)</f>
        <v>0</v>
      </c>
      <c r="F2" s="5">
        <f>IFERROR(_xlfn.XLOOKUP($B3,[1]Sheet1!$A:$A,[1]Sheet1!$C:$C),0)</f>
        <v>0</v>
      </c>
      <c r="G2">
        <f>IFERROR(_xlfn.XLOOKUP($B3,[1]Sheet1!$A:$A,[1]Sheet1!$D:$D),0)</f>
        <v>0</v>
      </c>
      <c r="H2">
        <f>IFERROR(_xlfn.XLOOKUP($B3,[1]Sheet1!$A:$A,[1]Sheet1!$E:$E),0)</f>
        <v>0</v>
      </c>
      <c r="I2">
        <v>5030</v>
      </c>
      <c r="J2">
        <v>10567</v>
      </c>
      <c r="K2">
        <v>5758</v>
      </c>
      <c r="L2">
        <v>5004</v>
      </c>
    </row>
    <row r="3" spans="1:12">
      <c r="A3" t="s">
        <v>134</v>
      </c>
      <c r="B3" t="s">
        <v>135</v>
      </c>
      <c r="C3" t="s">
        <v>14</v>
      </c>
      <c r="D3" t="s">
        <v>15</v>
      </c>
      <c r="E3" s="5">
        <f>IFERROR(_xlfn.XLOOKUP($B4,[1]Sheet1!$A:$A,[1]Sheet1!$B:$B),0)</f>
        <v>9</v>
      </c>
      <c r="F3" s="5">
        <f>IFERROR(_xlfn.XLOOKUP($B4,[1]Sheet1!$A:$A,[1]Sheet1!$C:$C),0)</f>
        <v>5</v>
      </c>
      <c r="G3">
        <f>IFERROR(_xlfn.XLOOKUP($B4,[1]Sheet1!$A:$A,[1]Sheet1!$D:$D),0)</f>
        <v>11</v>
      </c>
      <c r="H3">
        <f>IFERROR(_xlfn.XLOOKUP($B4,[1]Sheet1!$A:$A,[1]Sheet1!$E:$E),0)</f>
        <v>15</v>
      </c>
      <c r="I3">
        <v>12474</v>
      </c>
      <c r="J3">
        <v>14914</v>
      </c>
      <c r="K3">
        <v>12808</v>
      </c>
      <c r="L3">
        <v>2519</v>
      </c>
    </row>
    <row r="4" spans="1:12">
      <c r="A4" t="s">
        <v>146</v>
      </c>
      <c r="B4" t="s">
        <v>147</v>
      </c>
      <c r="C4" t="s">
        <v>36</v>
      </c>
      <c r="D4" t="s">
        <v>37</v>
      </c>
      <c r="E4" s="5">
        <f>IFERROR(_xlfn.XLOOKUP($B5,[1]Sheet1!$A:$A,[1]Sheet1!$B:$B),0)</f>
        <v>34</v>
      </c>
      <c r="F4" s="5">
        <f>IFERROR(_xlfn.XLOOKUP($B5,[1]Sheet1!$A:$A,[1]Sheet1!$C:$C),0)</f>
        <v>6</v>
      </c>
      <c r="G4">
        <f>IFERROR(_xlfn.XLOOKUP($B5,[1]Sheet1!$A:$A,[1]Sheet1!$D:$D),0)</f>
        <v>28</v>
      </c>
      <c r="H4">
        <f>IFERROR(_xlfn.XLOOKUP($B5,[1]Sheet1!$A:$A,[1]Sheet1!$E:$E),0)</f>
        <v>25</v>
      </c>
      <c r="I4">
        <v>20624</v>
      </c>
      <c r="J4">
        <v>20632</v>
      </c>
      <c r="K4">
        <v>11157</v>
      </c>
      <c r="L4">
        <v>2631</v>
      </c>
    </row>
    <row r="5" spans="1:12">
      <c r="A5" t="s">
        <v>447</v>
      </c>
      <c r="B5" t="s">
        <v>448</v>
      </c>
      <c r="C5" t="s">
        <v>80</v>
      </c>
      <c r="D5" t="s">
        <v>81</v>
      </c>
      <c r="E5" s="5">
        <f>IFERROR(_xlfn.XLOOKUP($B6,[1]Sheet1!$A:$A,[1]Sheet1!$B:$B),0)</f>
        <v>54</v>
      </c>
      <c r="F5" s="5">
        <f>IFERROR(_xlfn.XLOOKUP($B6,[1]Sheet1!$A:$A,[1]Sheet1!$C:$C),0)</f>
        <v>26</v>
      </c>
      <c r="G5">
        <f>IFERROR(_xlfn.XLOOKUP($B6,[1]Sheet1!$A:$A,[1]Sheet1!$D:$D),0)</f>
        <v>38</v>
      </c>
      <c r="H5">
        <f>IFERROR(_xlfn.XLOOKUP($B6,[1]Sheet1!$A:$A,[1]Sheet1!$E:$E),0)</f>
        <v>39</v>
      </c>
      <c r="I5">
        <v>24179</v>
      </c>
      <c r="J5">
        <v>18174</v>
      </c>
      <c r="K5">
        <v>14057</v>
      </c>
      <c r="L5">
        <v>11583</v>
      </c>
    </row>
    <row r="6" spans="1:12">
      <c r="A6" t="s">
        <v>361</v>
      </c>
      <c r="B6" t="s">
        <v>362</v>
      </c>
      <c r="C6" t="s">
        <v>36</v>
      </c>
      <c r="D6" t="s">
        <v>37</v>
      </c>
      <c r="E6" s="5">
        <f>IFERROR(_xlfn.XLOOKUP($B7,[1]Sheet1!$A:$A,[1]Sheet1!$B:$B),0)</f>
        <v>28</v>
      </c>
      <c r="F6" s="5">
        <f>IFERROR(_xlfn.XLOOKUP($B7,[1]Sheet1!$A:$A,[1]Sheet1!$C:$C),0)</f>
        <v>4</v>
      </c>
      <c r="G6">
        <f>IFERROR(_xlfn.XLOOKUP($B7,[1]Sheet1!$A:$A,[1]Sheet1!$D:$D),0)</f>
        <v>39</v>
      </c>
      <c r="H6">
        <f>IFERROR(_xlfn.XLOOKUP($B7,[1]Sheet1!$A:$A,[1]Sheet1!$E:$E),0)</f>
        <v>23</v>
      </c>
      <c r="I6">
        <v>16512</v>
      </c>
      <c r="J6">
        <v>22942</v>
      </c>
      <c r="K6">
        <v>10598</v>
      </c>
      <c r="L6">
        <v>3469</v>
      </c>
    </row>
    <row r="7" spans="1:12">
      <c r="A7" t="s">
        <v>258</v>
      </c>
      <c r="B7" t="s">
        <v>259</v>
      </c>
      <c r="C7" t="s">
        <v>80</v>
      </c>
      <c r="D7" t="s">
        <v>81</v>
      </c>
      <c r="E7" s="5">
        <f>IFERROR(_xlfn.XLOOKUP($B8,[1]Sheet1!$A:$A,[1]Sheet1!$B:$B),0)</f>
        <v>30</v>
      </c>
      <c r="F7" s="5">
        <f>IFERROR(_xlfn.XLOOKUP($B8,[1]Sheet1!$A:$A,[1]Sheet1!$C:$C),0)</f>
        <v>21</v>
      </c>
      <c r="G7">
        <f>IFERROR(_xlfn.XLOOKUP($B8,[1]Sheet1!$A:$A,[1]Sheet1!$D:$D),0)</f>
        <v>37</v>
      </c>
      <c r="H7">
        <f>IFERROR(_xlfn.XLOOKUP($B8,[1]Sheet1!$A:$A,[1]Sheet1!$E:$E),0)</f>
        <v>21</v>
      </c>
      <c r="I7">
        <v>17509</v>
      </c>
      <c r="J7">
        <v>16430</v>
      </c>
      <c r="K7">
        <v>11909</v>
      </c>
      <c r="L7">
        <v>5787</v>
      </c>
    </row>
    <row r="8" spans="1:12">
      <c r="A8" t="s">
        <v>407</v>
      </c>
      <c r="B8" t="s">
        <v>408</v>
      </c>
      <c r="C8" t="s">
        <v>70</v>
      </c>
      <c r="D8" t="s">
        <v>71</v>
      </c>
      <c r="E8" s="5">
        <f>IFERROR(_xlfn.XLOOKUP($B9,[1]Sheet1!$A:$A,[1]Sheet1!$B:$B),0)</f>
        <v>38</v>
      </c>
      <c r="F8" s="5">
        <f>IFERROR(_xlfn.XLOOKUP($B9,[1]Sheet1!$A:$A,[1]Sheet1!$C:$C),0)</f>
        <v>4</v>
      </c>
      <c r="G8">
        <f>IFERROR(_xlfn.XLOOKUP($B9,[1]Sheet1!$A:$A,[1]Sheet1!$D:$D),0)</f>
        <v>35</v>
      </c>
      <c r="H8">
        <f>IFERROR(_xlfn.XLOOKUP($B9,[1]Sheet1!$A:$A,[1]Sheet1!$E:$E),0)</f>
        <v>19</v>
      </c>
      <c r="I8">
        <v>16778</v>
      </c>
      <c r="J8">
        <v>12119</v>
      </c>
      <c r="K8">
        <v>8293</v>
      </c>
      <c r="L8">
        <v>2184</v>
      </c>
    </row>
    <row r="9" spans="1:12">
      <c r="A9" t="s">
        <v>555</v>
      </c>
      <c r="B9" t="s">
        <v>556</v>
      </c>
      <c r="C9" t="s">
        <v>553</v>
      </c>
      <c r="D9" t="s">
        <v>554</v>
      </c>
      <c r="E9" s="5">
        <f>IFERROR(_xlfn.XLOOKUP($B10,[1]Sheet1!$A:$A,[1]Sheet1!$B:$B),0)</f>
        <v>2</v>
      </c>
      <c r="F9" s="5">
        <f>IFERROR(_xlfn.XLOOKUP($B10,[1]Sheet1!$A:$A,[1]Sheet1!$C:$C),0)</f>
        <v>20</v>
      </c>
      <c r="G9">
        <f>IFERROR(_xlfn.XLOOKUP($B10,[1]Sheet1!$A:$A,[1]Sheet1!$D:$D),0)</f>
        <v>12</v>
      </c>
      <c r="H9">
        <f>IFERROR(_xlfn.XLOOKUP($B10,[1]Sheet1!$A:$A,[1]Sheet1!$E:$E),0)</f>
        <v>57</v>
      </c>
      <c r="I9">
        <v>3751</v>
      </c>
      <c r="J9">
        <v>16358</v>
      </c>
      <c r="K9">
        <v>30754</v>
      </c>
      <c r="L9">
        <v>20451</v>
      </c>
    </row>
    <row r="10" spans="1:12">
      <c r="A10" t="s">
        <v>557</v>
      </c>
      <c r="B10" t="s">
        <v>558</v>
      </c>
      <c r="C10" t="s">
        <v>553</v>
      </c>
      <c r="D10" t="s">
        <v>554</v>
      </c>
      <c r="E10" s="5">
        <f>IFERROR(_xlfn.XLOOKUP($B11,[1]Sheet1!$A:$A,[1]Sheet1!$B:$B),0)</f>
        <v>8</v>
      </c>
      <c r="F10" s="5">
        <f>IFERROR(_xlfn.XLOOKUP($B11,[1]Sheet1!$A:$A,[1]Sheet1!$C:$C),0)</f>
        <v>179</v>
      </c>
      <c r="G10">
        <f>IFERROR(_xlfn.XLOOKUP($B11,[1]Sheet1!$A:$A,[1]Sheet1!$D:$D),0)</f>
        <v>40</v>
      </c>
      <c r="H10">
        <f>IFERROR(_xlfn.XLOOKUP($B11,[1]Sheet1!$A:$A,[1]Sheet1!$E:$E),0)</f>
        <v>34</v>
      </c>
      <c r="I10">
        <v>15046</v>
      </c>
      <c r="J10">
        <v>40919</v>
      </c>
      <c r="K10">
        <v>22155</v>
      </c>
      <c r="L10">
        <v>54446</v>
      </c>
    </row>
    <row r="11" spans="1:12">
      <c r="A11" t="s">
        <v>509</v>
      </c>
      <c r="B11" t="s">
        <v>510</v>
      </c>
      <c r="C11" t="s">
        <v>24</v>
      </c>
      <c r="D11" t="s">
        <v>25</v>
      </c>
      <c r="E11" s="5">
        <f>IFERROR(_xlfn.XLOOKUP($B12,[1]Sheet1!$A:$A,[1]Sheet1!$B:$B),0)</f>
        <v>0</v>
      </c>
      <c r="F11" s="5">
        <f>IFERROR(_xlfn.XLOOKUP($B12,[1]Sheet1!$A:$A,[1]Sheet1!$C:$C),0)</f>
        <v>0</v>
      </c>
      <c r="G11">
        <f>IFERROR(_xlfn.XLOOKUP($B12,[1]Sheet1!$A:$A,[1]Sheet1!$D:$D),0)</f>
        <v>0</v>
      </c>
      <c r="H11">
        <f>IFERROR(_xlfn.XLOOKUP($B12,[1]Sheet1!$A:$A,[1]Sheet1!$E:$E),0)</f>
        <v>0</v>
      </c>
      <c r="I11">
        <v>25317</v>
      </c>
      <c r="J11">
        <v>49183</v>
      </c>
      <c r="K11">
        <v>25178</v>
      </c>
      <c r="L11">
        <v>6745</v>
      </c>
    </row>
    <row r="12" spans="1:12">
      <c r="A12" t="s">
        <v>136</v>
      </c>
      <c r="B12" t="s">
        <v>137</v>
      </c>
      <c r="C12" t="s">
        <v>14</v>
      </c>
      <c r="D12" t="s">
        <v>15</v>
      </c>
      <c r="E12" s="5">
        <f>IFERROR(_xlfn.XLOOKUP($B13,[1]Sheet1!$A:$A,[1]Sheet1!$B:$B),0)</f>
        <v>40</v>
      </c>
      <c r="F12" s="5">
        <f>IFERROR(_xlfn.XLOOKUP($B13,[1]Sheet1!$A:$A,[1]Sheet1!$C:$C),0)</f>
        <v>8</v>
      </c>
      <c r="G12">
        <f>IFERROR(_xlfn.XLOOKUP($B13,[1]Sheet1!$A:$A,[1]Sheet1!$D:$D),0)</f>
        <v>50</v>
      </c>
      <c r="H12">
        <f>IFERROR(_xlfn.XLOOKUP($B13,[1]Sheet1!$A:$A,[1]Sheet1!$E:$E),0)</f>
        <v>62</v>
      </c>
      <c r="I12">
        <v>4015</v>
      </c>
      <c r="J12">
        <v>9721</v>
      </c>
      <c r="K12">
        <v>14187</v>
      </c>
      <c r="L12">
        <v>2479</v>
      </c>
    </row>
    <row r="13" spans="1:12">
      <c r="A13" t="s">
        <v>188</v>
      </c>
      <c r="B13" t="s">
        <v>189</v>
      </c>
      <c r="C13" t="s">
        <v>70</v>
      </c>
      <c r="D13" t="s">
        <v>71</v>
      </c>
      <c r="E13" s="5">
        <f>IFERROR(_xlfn.XLOOKUP($B14,[1]Sheet1!$A:$A,[1]Sheet1!$B:$B),0)</f>
        <v>36</v>
      </c>
      <c r="F13" s="5">
        <f>IFERROR(_xlfn.XLOOKUP($B14,[1]Sheet1!$A:$A,[1]Sheet1!$C:$C),0)</f>
        <v>13</v>
      </c>
      <c r="G13">
        <f>IFERROR(_xlfn.XLOOKUP($B14,[1]Sheet1!$A:$A,[1]Sheet1!$D:$D),0)</f>
        <v>30</v>
      </c>
      <c r="H13">
        <f>IFERROR(_xlfn.XLOOKUP($B14,[1]Sheet1!$A:$A,[1]Sheet1!$E:$E),0)</f>
        <v>37</v>
      </c>
      <c r="I13">
        <v>16660</v>
      </c>
      <c r="J13">
        <v>20264</v>
      </c>
      <c r="K13">
        <v>24924</v>
      </c>
      <c r="L13">
        <v>13183</v>
      </c>
    </row>
    <row r="14" spans="1:12">
      <c r="A14" t="s">
        <v>224</v>
      </c>
      <c r="B14" t="s">
        <v>225</v>
      </c>
      <c r="C14" t="s">
        <v>80</v>
      </c>
      <c r="D14" t="s">
        <v>81</v>
      </c>
      <c r="E14" s="5">
        <f>IFERROR(_xlfn.XLOOKUP($B15,[1]Sheet1!$A:$A,[1]Sheet1!$B:$B),0)</f>
        <v>81</v>
      </c>
      <c r="F14" s="5">
        <f>IFERROR(_xlfn.XLOOKUP($B15,[1]Sheet1!$A:$A,[1]Sheet1!$C:$C),0)</f>
        <v>31</v>
      </c>
      <c r="G14">
        <f>IFERROR(_xlfn.XLOOKUP($B15,[1]Sheet1!$A:$A,[1]Sheet1!$D:$D),0)</f>
        <v>41</v>
      </c>
      <c r="H14">
        <f>IFERROR(_xlfn.XLOOKUP($B15,[1]Sheet1!$A:$A,[1]Sheet1!$E:$E),0)</f>
        <v>49</v>
      </c>
      <c r="I14">
        <v>23193</v>
      </c>
      <c r="J14">
        <v>19880</v>
      </c>
      <c r="K14">
        <v>20736</v>
      </c>
      <c r="L14">
        <v>10893</v>
      </c>
    </row>
    <row r="15" spans="1:12">
      <c r="A15" t="s">
        <v>363</v>
      </c>
      <c r="B15" t="s">
        <v>364</v>
      </c>
      <c r="C15" t="s">
        <v>36</v>
      </c>
      <c r="D15" t="s">
        <v>37</v>
      </c>
      <c r="E15" s="5">
        <f>IFERROR(_xlfn.XLOOKUP($B16,[1]Sheet1!$A:$A,[1]Sheet1!$B:$B),0)</f>
        <v>43</v>
      </c>
      <c r="F15" s="5">
        <f>IFERROR(_xlfn.XLOOKUP($B16,[1]Sheet1!$A:$A,[1]Sheet1!$C:$C),0)</f>
        <v>5</v>
      </c>
      <c r="G15">
        <f>IFERROR(_xlfn.XLOOKUP($B16,[1]Sheet1!$A:$A,[1]Sheet1!$D:$D),0)</f>
        <v>40</v>
      </c>
      <c r="H15">
        <f>IFERROR(_xlfn.XLOOKUP($B16,[1]Sheet1!$A:$A,[1]Sheet1!$E:$E),0)</f>
        <v>16</v>
      </c>
      <c r="I15">
        <v>18078</v>
      </c>
      <c r="J15">
        <v>21301</v>
      </c>
      <c r="K15">
        <v>8111</v>
      </c>
      <c r="L15">
        <v>2824</v>
      </c>
    </row>
    <row r="16" spans="1:12">
      <c r="A16" t="s">
        <v>52</v>
      </c>
      <c r="B16" t="s">
        <v>53</v>
      </c>
      <c r="C16" t="s">
        <v>54</v>
      </c>
      <c r="D16" t="s">
        <v>55</v>
      </c>
      <c r="E16" s="5">
        <f>IFERROR(_xlfn.XLOOKUP($B17,[1]Sheet1!$A:$A,[1]Sheet1!$B:$B),0)</f>
        <v>35</v>
      </c>
      <c r="F16" s="5">
        <f>IFERROR(_xlfn.XLOOKUP($B17,[1]Sheet1!$A:$A,[1]Sheet1!$C:$C),0)</f>
        <v>30</v>
      </c>
      <c r="G16">
        <f>IFERROR(_xlfn.XLOOKUP($B17,[1]Sheet1!$A:$A,[1]Sheet1!$D:$D),0)</f>
        <v>51</v>
      </c>
      <c r="H16">
        <f>IFERROR(_xlfn.XLOOKUP($B17,[1]Sheet1!$A:$A,[1]Sheet1!$E:$E),0)</f>
        <v>58</v>
      </c>
      <c r="I16">
        <v>17678</v>
      </c>
      <c r="J16">
        <v>22713</v>
      </c>
      <c r="K16">
        <v>21579</v>
      </c>
      <c r="L16">
        <v>10672</v>
      </c>
    </row>
    <row r="17" spans="1:12">
      <c r="A17" t="s">
        <v>118</v>
      </c>
      <c r="B17" t="s">
        <v>119</v>
      </c>
      <c r="C17" t="s">
        <v>70</v>
      </c>
      <c r="D17" t="s">
        <v>71</v>
      </c>
      <c r="E17" s="5">
        <f>IFERROR(_xlfn.XLOOKUP($B18,[1]Sheet1!$A:$A,[1]Sheet1!$B:$B),0)</f>
        <v>52</v>
      </c>
      <c r="F17" s="5">
        <f>IFERROR(_xlfn.XLOOKUP($B18,[1]Sheet1!$A:$A,[1]Sheet1!$C:$C),0)</f>
        <v>23</v>
      </c>
      <c r="G17">
        <f>IFERROR(_xlfn.XLOOKUP($B18,[1]Sheet1!$A:$A,[1]Sheet1!$D:$D),0)</f>
        <v>39</v>
      </c>
      <c r="H17">
        <f>IFERROR(_xlfn.XLOOKUP($B18,[1]Sheet1!$A:$A,[1]Sheet1!$E:$E),0)</f>
        <v>35</v>
      </c>
      <c r="I17">
        <v>20813</v>
      </c>
      <c r="J17">
        <v>24743</v>
      </c>
      <c r="K17">
        <v>14941</v>
      </c>
      <c r="L17">
        <v>10679</v>
      </c>
    </row>
    <row r="18" spans="1:12">
      <c r="A18" t="s">
        <v>559</v>
      </c>
      <c r="B18" t="s">
        <v>560</v>
      </c>
      <c r="C18" t="s">
        <v>553</v>
      </c>
      <c r="D18" t="s">
        <v>554</v>
      </c>
      <c r="E18" s="5">
        <f>IFERROR(_xlfn.XLOOKUP($B19,[1]Sheet1!$A:$A,[1]Sheet1!$B:$B),0)</f>
        <v>6</v>
      </c>
      <c r="F18" s="5">
        <f>IFERROR(_xlfn.XLOOKUP($B19,[1]Sheet1!$A:$A,[1]Sheet1!$C:$C),0)</f>
        <v>33</v>
      </c>
      <c r="G18">
        <f>IFERROR(_xlfn.XLOOKUP($B19,[1]Sheet1!$A:$A,[1]Sheet1!$D:$D),0)</f>
        <v>62</v>
      </c>
      <c r="H18">
        <f>IFERROR(_xlfn.XLOOKUP($B19,[1]Sheet1!$A:$A,[1]Sheet1!$E:$E),0)</f>
        <v>49</v>
      </c>
      <c r="I18">
        <v>7054</v>
      </c>
      <c r="J18">
        <v>42154</v>
      </c>
      <c r="K18">
        <v>22536</v>
      </c>
      <c r="L18">
        <v>20318</v>
      </c>
    </row>
    <row r="19" spans="1:12">
      <c r="A19" t="s">
        <v>525</v>
      </c>
      <c r="B19" t="s">
        <v>526</v>
      </c>
      <c r="C19" t="s">
        <v>46</v>
      </c>
      <c r="D19" t="s">
        <v>47</v>
      </c>
      <c r="E19" s="5">
        <f>IFERROR(_xlfn.XLOOKUP($B20,[1]Sheet1!$A:$A,[1]Sheet1!$B:$B),0)</f>
        <v>80</v>
      </c>
      <c r="F19" s="5">
        <f>IFERROR(_xlfn.XLOOKUP($B20,[1]Sheet1!$A:$A,[1]Sheet1!$C:$C),0)</f>
        <v>140</v>
      </c>
      <c r="G19">
        <f>IFERROR(_xlfn.XLOOKUP($B20,[1]Sheet1!$A:$A,[1]Sheet1!$D:$D),0)</f>
        <v>203</v>
      </c>
      <c r="H19">
        <f>IFERROR(_xlfn.XLOOKUP($B20,[1]Sheet1!$A:$A,[1]Sheet1!$E:$E),0)</f>
        <v>208</v>
      </c>
      <c r="I19">
        <v>47332</v>
      </c>
      <c r="J19">
        <v>150608</v>
      </c>
      <c r="K19">
        <v>117527</v>
      </c>
      <c r="L19">
        <v>88786</v>
      </c>
    </row>
    <row r="20" spans="1:12">
      <c r="A20" t="s">
        <v>305</v>
      </c>
      <c r="B20" t="s">
        <v>306</v>
      </c>
      <c r="C20" t="s">
        <v>36</v>
      </c>
      <c r="D20" t="s">
        <v>37</v>
      </c>
      <c r="E20" s="5">
        <f>IFERROR(_xlfn.XLOOKUP($B21,[1]Sheet1!$A:$A,[1]Sheet1!$B:$B),0)</f>
        <v>32</v>
      </c>
      <c r="F20" s="5">
        <f>IFERROR(_xlfn.XLOOKUP($B21,[1]Sheet1!$A:$A,[1]Sheet1!$C:$C),0)</f>
        <v>2</v>
      </c>
      <c r="G20">
        <f>IFERROR(_xlfn.XLOOKUP($B21,[1]Sheet1!$A:$A,[1]Sheet1!$D:$D),0)</f>
        <v>27</v>
      </c>
      <c r="H20">
        <f>IFERROR(_xlfn.XLOOKUP($B21,[1]Sheet1!$A:$A,[1]Sheet1!$E:$E),0)</f>
        <v>8</v>
      </c>
      <c r="I20">
        <v>16122</v>
      </c>
      <c r="J20">
        <v>19474</v>
      </c>
      <c r="K20">
        <v>4290</v>
      </c>
      <c r="L20">
        <v>2089</v>
      </c>
    </row>
    <row r="21" spans="1:12">
      <c r="A21" t="s">
        <v>18</v>
      </c>
      <c r="B21" t="s">
        <v>19</v>
      </c>
      <c r="C21" t="s">
        <v>14</v>
      </c>
      <c r="D21" t="s">
        <v>15</v>
      </c>
      <c r="E21" s="5">
        <f>IFERROR(_xlfn.XLOOKUP($B22,[1]Sheet1!$A:$A,[1]Sheet1!$B:$B),0)</f>
        <v>33</v>
      </c>
      <c r="F21" s="5">
        <f>IFERROR(_xlfn.XLOOKUP($B22,[1]Sheet1!$A:$A,[1]Sheet1!$C:$C),0)</f>
        <v>4</v>
      </c>
      <c r="G21">
        <f>IFERROR(_xlfn.XLOOKUP($B22,[1]Sheet1!$A:$A,[1]Sheet1!$D:$D),0)</f>
        <v>28</v>
      </c>
      <c r="H21">
        <f>IFERROR(_xlfn.XLOOKUP($B22,[1]Sheet1!$A:$A,[1]Sheet1!$E:$E),0)</f>
        <v>54</v>
      </c>
      <c r="I21">
        <v>8945</v>
      </c>
      <c r="J21">
        <v>17343</v>
      </c>
      <c r="K21">
        <v>25507</v>
      </c>
      <c r="L21">
        <v>5550</v>
      </c>
    </row>
    <row r="22" spans="1:12">
      <c r="A22" t="s">
        <v>20</v>
      </c>
      <c r="B22" t="s">
        <v>21</v>
      </c>
      <c r="C22" t="s">
        <v>14</v>
      </c>
      <c r="D22" t="s">
        <v>15</v>
      </c>
      <c r="E22" s="5">
        <f>IFERROR(_xlfn.XLOOKUP($B23,[1]Sheet1!$A:$A,[1]Sheet1!$B:$B),0)</f>
        <v>14</v>
      </c>
      <c r="F22" s="5">
        <f>IFERROR(_xlfn.XLOOKUP($B23,[1]Sheet1!$A:$A,[1]Sheet1!$C:$C),0)</f>
        <v>13</v>
      </c>
      <c r="G22">
        <f>IFERROR(_xlfn.XLOOKUP($B23,[1]Sheet1!$A:$A,[1]Sheet1!$D:$D),0)</f>
        <v>52</v>
      </c>
      <c r="H22">
        <f>IFERROR(_xlfn.XLOOKUP($B23,[1]Sheet1!$A:$A,[1]Sheet1!$E:$E),0)</f>
        <v>46</v>
      </c>
      <c r="I22">
        <v>6207</v>
      </c>
      <c r="J22">
        <v>25548</v>
      </c>
      <c r="K22">
        <v>19105</v>
      </c>
      <c r="L22">
        <v>8771</v>
      </c>
    </row>
    <row r="23" spans="1:12">
      <c r="A23" t="s">
        <v>653</v>
      </c>
      <c r="B23" t="s">
        <v>654</v>
      </c>
      <c r="C23" t="s">
        <v>621</v>
      </c>
      <c r="D23" t="s">
        <v>622</v>
      </c>
      <c r="E23" s="5">
        <f>IFERROR(_xlfn.XLOOKUP($B24,[1]Sheet1!$A:$A,[1]Sheet1!$B:$B),0)</f>
        <v>1</v>
      </c>
      <c r="F23" s="5">
        <f>IFERROR(_xlfn.XLOOKUP($B24,[1]Sheet1!$A:$A,[1]Sheet1!$C:$C),0)</f>
        <v>1</v>
      </c>
      <c r="G23">
        <f>IFERROR(_xlfn.XLOOKUP($B24,[1]Sheet1!$A:$A,[1]Sheet1!$D:$D),0)</f>
        <v>7</v>
      </c>
      <c r="H23">
        <f>IFERROR(_xlfn.XLOOKUP($B24,[1]Sheet1!$A:$A,[1]Sheet1!$E:$E),0)</f>
        <v>26</v>
      </c>
      <c r="I23">
        <v>3610</v>
      </c>
      <c r="J23">
        <v>8691</v>
      </c>
      <c r="K23">
        <v>15157</v>
      </c>
      <c r="L23">
        <v>2268</v>
      </c>
    </row>
    <row r="24" spans="1:12">
      <c r="A24" t="s">
        <v>148</v>
      </c>
      <c r="B24" t="s">
        <v>149</v>
      </c>
      <c r="C24" t="s">
        <v>36</v>
      </c>
      <c r="D24" t="s">
        <v>37</v>
      </c>
      <c r="E24" s="5">
        <f>IFERROR(_xlfn.XLOOKUP($B25,[1]Sheet1!$A:$A,[1]Sheet1!$B:$B),0)</f>
        <v>21</v>
      </c>
      <c r="F24" s="5">
        <f>IFERROR(_xlfn.XLOOKUP($B25,[1]Sheet1!$A:$A,[1]Sheet1!$C:$C),0)</f>
        <v>1</v>
      </c>
      <c r="G24">
        <f>IFERROR(_xlfn.XLOOKUP($B25,[1]Sheet1!$A:$A,[1]Sheet1!$D:$D),0)</f>
        <v>27</v>
      </c>
      <c r="H24">
        <f>IFERROR(_xlfn.XLOOKUP($B25,[1]Sheet1!$A:$A,[1]Sheet1!$E:$E),0)</f>
        <v>17</v>
      </c>
      <c r="I24">
        <v>10298</v>
      </c>
      <c r="J24">
        <v>15809</v>
      </c>
      <c r="K24">
        <v>7091</v>
      </c>
      <c r="L24">
        <v>1542</v>
      </c>
    </row>
    <row r="25" spans="1:12">
      <c r="A25" t="s">
        <v>479</v>
      </c>
      <c r="B25" t="s">
        <v>480</v>
      </c>
      <c r="C25" t="s">
        <v>14</v>
      </c>
      <c r="D25" t="s">
        <v>15</v>
      </c>
      <c r="E25" s="5">
        <f>IFERROR(_xlfn.XLOOKUP($B26,[1]Sheet1!$A:$A,[1]Sheet1!$B:$B),0)</f>
        <v>44</v>
      </c>
      <c r="F25" s="5">
        <f>IFERROR(_xlfn.XLOOKUP($B26,[1]Sheet1!$A:$A,[1]Sheet1!$C:$C),0)</f>
        <v>12</v>
      </c>
      <c r="G25">
        <f>IFERROR(_xlfn.XLOOKUP($B26,[1]Sheet1!$A:$A,[1]Sheet1!$D:$D),0)</f>
        <v>88</v>
      </c>
      <c r="H25">
        <f>IFERROR(_xlfn.XLOOKUP($B26,[1]Sheet1!$A:$A,[1]Sheet1!$E:$E),0)</f>
        <v>84</v>
      </c>
      <c r="I25">
        <v>20799</v>
      </c>
      <c r="J25">
        <v>42656</v>
      </c>
      <c r="K25">
        <v>39464</v>
      </c>
      <c r="L25">
        <v>13194</v>
      </c>
    </row>
    <row r="26" spans="1:12">
      <c r="A26" t="s">
        <v>319</v>
      </c>
      <c r="B26" t="s">
        <v>320</v>
      </c>
      <c r="C26" t="s">
        <v>36</v>
      </c>
      <c r="D26" t="s">
        <v>37</v>
      </c>
      <c r="E26" s="5">
        <f>IFERROR(_xlfn.XLOOKUP($B27,[1]Sheet1!$A:$A,[1]Sheet1!$B:$B),0)</f>
        <v>26</v>
      </c>
      <c r="F26" s="5">
        <f>IFERROR(_xlfn.XLOOKUP($B27,[1]Sheet1!$A:$A,[1]Sheet1!$C:$C),0)</f>
        <v>0</v>
      </c>
      <c r="G26">
        <f>IFERROR(_xlfn.XLOOKUP($B27,[1]Sheet1!$A:$A,[1]Sheet1!$D:$D),0)</f>
        <v>9</v>
      </c>
      <c r="H26">
        <f>IFERROR(_xlfn.XLOOKUP($B27,[1]Sheet1!$A:$A,[1]Sheet1!$E:$E),0)</f>
        <v>8</v>
      </c>
      <c r="I26">
        <v>12566</v>
      </c>
      <c r="J26">
        <v>9540</v>
      </c>
      <c r="K26">
        <v>3833</v>
      </c>
      <c r="L26">
        <v>2726</v>
      </c>
    </row>
    <row r="27" spans="1:12">
      <c r="A27" t="s">
        <v>665</v>
      </c>
      <c r="B27" s="1" t="s">
        <v>666</v>
      </c>
      <c r="C27" t="s">
        <v>54</v>
      </c>
      <c r="D27" t="s">
        <v>55</v>
      </c>
      <c r="E27" s="5">
        <f>IFERROR(_xlfn.XLOOKUP($B28,[1]Sheet1!$A:$A,[1]Sheet1!$B:$B),0)</f>
        <v>124</v>
      </c>
      <c r="F27" s="5">
        <f>IFERROR(_xlfn.XLOOKUP($B28,[1]Sheet1!$A:$A,[1]Sheet1!$C:$C),0)</f>
        <v>131</v>
      </c>
      <c r="G27">
        <f>IFERROR(_xlfn.XLOOKUP($B28,[1]Sheet1!$A:$A,[1]Sheet1!$D:$D),0)</f>
        <v>47</v>
      </c>
      <c r="H27">
        <f>IFERROR(_xlfn.XLOOKUP($B28,[1]Sheet1!$A:$A,[1]Sheet1!$E:$E),0)</f>
        <v>39</v>
      </c>
      <c r="I27">
        <v>61946</v>
      </c>
      <c r="J27">
        <v>30018</v>
      </c>
      <c r="K27">
        <v>17150</v>
      </c>
      <c r="L27">
        <v>46587</v>
      </c>
    </row>
    <row r="28" spans="1:12">
      <c r="A28" t="s">
        <v>82</v>
      </c>
      <c r="B28" t="s">
        <v>83</v>
      </c>
      <c r="C28" t="s">
        <v>80</v>
      </c>
      <c r="D28" t="s">
        <v>81</v>
      </c>
      <c r="E28" s="5">
        <f>IFERROR(_xlfn.XLOOKUP($B29,[1]Sheet1!$A:$A,[1]Sheet1!$B:$B),0)</f>
        <v>34</v>
      </c>
      <c r="F28" s="5">
        <f>IFERROR(_xlfn.XLOOKUP($B29,[1]Sheet1!$A:$A,[1]Sheet1!$C:$C),0)</f>
        <v>29</v>
      </c>
      <c r="G28">
        <f>IFERROR(_xlfn.XLOOKUP($B29,[1]Sheet1!$A:$A,[1]Sheet1!$D:$D),0)</f>
        <v>25</v>
      </c>
      <c r="H28">
        <f>IFERROR(_xlfn.XLOOKUP($B29,[1]Sheet1!$A:$A,[1]Sheet1!$E:$E),0)</f>
        <v>29</v>
      </c>
      <c r="I28">
        <v>13532</v>
      </c>
      <c r="J28">
        <v>10917</v>
      </c>
      <c r="K28">
        <v>14477</v>
      </c>
      <c r="L28">
        <v>9602</v>
      </c>
    </row>
    <row r="29" spans="1:12">
      <c r="A29" t="s">
        <v>539</v>
      </c>
      <c r="B29" t="s">
        <v>540</v>
      </c>
      <c r="C29" t="s">
        <v>24</v>
      </c>
      <c r="D29" t="s">
        <v>25</v>
      </c>
      <c r="E29" s="5">
        <f>IFERROR(_xlfn.XLOOKUP($B30,[1]Sheet1!$A:$A,[1]Sheet1!$B:$B),0)</f>
        <v>73</v>
      </c>
      <c r="F29" s="5">
        <f>IFERROR(_xlfn.XLOOKUP($B30,[1]Sheet1!$A:$A,[1]Sheet1!$C:$C),0)</f>
        <v>63</v>
      </c>
      <c r="G29">
        <f>IFERROR(_xlfn.XLOOKUP($B30,[1]Sheet1!$A:$A,[1]Sheet1!$D:$D),0)</f>
        <v>142</v>
      </c>
      <c r="H29">
        <f>IFERROR(_xlfn.XLOOKUP($B30,[1]Sheet1!$A:$A,[1]Sheet1!$E:$E),0)</f>
        <v>170</v>
      </c>
      <c r="I29">
        <v>30851</v>
      </c>
      <c r="J29">
        <v>76995</v>
      </c>
      <c r="K29">
        <v>69168</v>
      </c>
      <c r="L29">
        <v>24306</v>
      </c>
    </row>
    <row r="30" spans="1:12">
      <c r="A30" t="s">
        <v>190</v>
      </c>
      <c r="B30" t="s">
        <v>191</v>
      </c>
      <c r="C30" t="s">
        <v>70</v>
      </c>
      <c r="D30" t="s">
        <v>71</v>
      </c>
      <c r="E30" s="5">
        <f>IFERROR(_xlfn.XLOOKUP($B31,[1]Sheet1!$A:$A,[1]Sheet1!$B:$B),0)</f>
        <v>58</v>
      </c>
      <c r="F30" s="5">
        <f>IFERROR(_xlfn.XLOOKUP($B31,[1]Sheet1!$A:$A,[1]Sheet1!$C:$C),0)</f>
        <v>20</v>
      </c>
      <c r="G30">
        <f>IFERROR(_xlfn.XLOOKUP($B31,[1]Sheet1!$A:$A,[1]Sheet1!$D:$D),0)</f>
        <v>40</v>
      </c>
      <c r="H30">
        <f>IFERROR(_xlfn.XLOOKUP($B31,[1]Sheet1!$A:$A,[1]Sheet1!$E:$E),0)</f>
        <v>20</v>
      </c>
      <c r="I30">
        <v>19060</v>
      </c>
      <c r="J30">
        <v>22537</v>
      </c>
      <c r="K30">
        <v>14498</v>
      </c>
      <c r="L30">
        <v>7317</v>
      </c>
    </row>
    <row r="31" spans="1:12">
      <c r="A31" t="s">
        <v>333</v>
      </c>
      <c r="B31" t="s">
        <v>334</v>
      </c>
      <c r="C31" t="s">
        <v>70</v>
      </c>
      <c r="D31" t="s">
        <v>71</v>
      </c>
      <c r="E31" s="5">
        <f>IFERROR(_xlfn.XLOOKUP($B32,[1]Sheet1!$A:$A,[1]Sheet1!$B:$B),0)</f>
        <v>59</v>
      </c>
      <c r="F31" s="5">
        <f>IFERROR(_xlfn.XLOOKUP($B32,[1]Sheet1!$A:$A,[1]Sheet1!$C:$C),0)</f>
        <v>0</v>
      </c>
      <c r="G31">
        <f>IFERROR(_xlfn.XLOOKUP($B32,[1]Sheet1!$A:$A,[1]Sheet1!$D:$D),0)</f>
        <v>17</v>
      </c>
      <c r="H31">
        <f>IFERROR(_xlfn.XLOOKUP($B32,[1]Sheet1!$A:$A,[1]Sheet1!$E:$E),0)</f>
        <v>26</v>
      </c>
      <c r="I31">
        <v>28226</v>
      </c>
      <c r="J31">
        <v>17941</v>
      </c>
      <c r="K31">
        <v>9687</v>
      </c>
      <c r="L31">
        <v>3244</v>
      </c>
    </row>
    <row r="32" spans="1:12">
      <c r="A32" t="s">
        <v>561</v>
      </c>
      <c r="B32" t="s">
        <v>562</v>
      </c>
      <c r="C32" t="s">
        <v>553</v>
      </c>
      <c r="D32" t="s">
        <v>554</v>
      </c>
      <c r="E32" s="5">
        <f>IFERROR(_xlfn.XLOOKUP($B33,[1]Sheet1!$A:$A,[1]Sheet1!$B:$B),0)</f>
        <v>2</v>
      </c>
      <c r="F32" s="5">
        <f>IFERROR(_xlfn.XLOOKUP($B33,[1]Sheet1!$A:$A,[1]Sheet1!$C:$C),0)</f>
        <v>93</v>
      </c>
      <c r="G32">
        <f>IFERROR(_xlfn.XLOOKUP($B33,[1]Sheet1!$A:$A,[1]Sheet1!$D:$D),0)</f>
        <v>19</v>
      </c>
      <c r="H32">
        <f>IFERROR(_xlfn.XLOOKUP($B33,[1]Sheet1!$A:$A,[1]Sheet1!$E:$E),0)</f>
        <v>21</v>
      </c>
      <c r="I32">
        <v>7142</v>
      </c>
      <c r="J32">
        <v>26467</v>
      </c>
      <c r="K32">
        <v>17697</v>
      </c>
      <c r="L32">
        <v>45086</v>
      </c>
    </row>
    <row r="33" spans="1:12">
      <c r="A33" t="s">
        <v>192</v>
      </c>
      <c r="B33" t="s">
        <v>193</v>
      </c>
      <c r="C33" t="s">
        <v>70</v>
      </c>
      <c r="D33" t="s">
        <v>71</v>
      </c>
      <c r="E33" s="5">
        <f>IFERROR(_xlfn.XLOOKUP($B34,[1]Sheet1!$A:$A,[1]Sheet1!$B:$B),0)</f>
        <v>26</v>
      </c>
      <c r="F33" s="5">
        <f>IFERROR(_xlfn.XLOOKUP($B34,[1]Sheet1!$A:$A,[1]Sheet1!$C:$C),0)</f>
        <v>20</v>
      </c>
      <c r="G33">
        <f>IFERROR(_xlfn.XLOOKUP($B34,[1]Sheet1!$A:$A,[1]Sheet1!$D:$D),0)</f>
        <v>23</v>
      </c>
      <c r="H33">
        <f>IFERROR(_xlfn.XLOOKUP($B34,[1]Sheet1!$A:$A,[1]Sheet1!$E:$E),0)</f>
        <v>14</v>
      </c>
      <c r="I33">
        <v>9815</v>
      </c>
      <c r="J33">
        <v>10320</v>
      </c>
      <c r="K33">
        <v>4823</v>
      </c>
      <c r="L33">
        <v>6006</v>
      </c>
    </row>
    <row r="34" spans="1:12">
      <c r="A34" t="s">
        <v>643</v>
      </c>
      <c r="B34" t="s">
        <v>644</v>
      </c>
      <c r="C34" t="s">
        <v>621</v>
      </c>
      <c r="D34" t="s">
        <v>622</v>
      </c>
      <c r="E34" s="5">
        <f>IFERROR(_xlfn.XLOOKUP($B35,[1]Sheet1!$A:$A,[1]Sheet1!$B:$B),0)</f>
        <v>20</v>
      </c>
      <c r="F34" s="5">
        <f>IFERROR(_xlfn.XLOOKUP($B35,[1]Sheet1!$A:$A,[1]Sheet1!$C:$C),0)</f>
        <v>2</v>
      </c>
      <c r="G34">
        <f>IFERROR(_xlfn.XLOOKUP($B35,[1]Sheet1!$A:$A,[1]Sheet1!$D:$D),0)</f>
        <v>37</v>
      </c>
      <c r="H34">
        <f>IFERROR(_xlfn.XLOOKUP($B35,[1]Sheet1!$A:$A,[1]Sheet1!$E:$E),0)</f>
        <v>33</v>
      </c>
      <c r="I34">
        <v>15839</v>
      </c>
      <c r="J34">
        <v>24570</v>
      </c>
      <c r="K34">
        <v>15556</v>
      </c>
      <c r="L34">
        <v>4899</v>
      </c>
    </row>
    <row r="35" spans="1:12">
      <c r="A35" t="s">
        <v>96</v>
      </c>
      <c r="B35" t="s">
        <v>97</v>
      </c>
      <c r="C35" t="s">
        <v>80</v>
      </c>
      <c r="D35" t="s">
        <v>81</v>
      </c>
      <c r="E35" s="5">
        <f>IFERROR(_xlfn.XLOOKUP($B36,[1]Sheet1!$A:$A,[1]Sheet1!$B:$B),0)</f>
        <v>23</v>
      </c>
      <c r="F35" s="5">
        <f>IFERROR(_xlfn.XLOOKUP($B36,[1]Sheet1!$A:$A,[1]Sheet1!$C:$C),0)</f>
        <v>6</v>
      </c>
      <c r="G35">
        <f>IFERROR(_xlfn.XLOOKUP($B36,[1]Sheet1!$A:$A,[1]Sheet1!$D:$D),0)</f>
        <v>29</v>
      </c>
      <c r="H35">
        <f>IFERROR(_xlfn.XLOOKUP($B36,[1]Sheet1!$A:$A,[1]Sheet1!$E:$E),0)</f>
        <v>25</v>
      </c>
      <c r="I35">
        <v>12541</v>
      </c>
      <c r="J35">
        <v>23918</v>
      </c>
      <c r="K35">
        <v>24095</v>
      </c>
      <c r="L35">
        <v>33449</v>
      </c>
    </row>
    <row r="36" spans="1:12">
      <c r="A36" t="s">
        <v>56</v>
      </c>
      <c r="B36" t="s">
        <v>57</v>
      </c>
      <c r="C36" t="s">
        <v>54</v>
      </c>
      <c r="D36" t="s">
        <v>55</v>
      </c>
      <c r="E36" s="5">
        <f>IFERROR(_xlfn.XLOOKUP($B37,[1]Sheet1!$A:$A,[1]Sheet1!$B:$B),0)</f>
        <v>22</v>
      </c>
      <c r="F36" s="5">
        <f>IFERROR(_xlfn.XLOOKUP($B37,[1]Sheet1!$A:$A,[1]Sheet1!$C:$C),0)</f>
        <v>116</v>
      </c>
      <c r="G36">
        <f>IFERROR(_xlfn.XLOOKUP($B37,[1]Sheet1!$A:$A,[1]Sheet1!$D:$D),0)</f>
        <v>31</v>
      </c>
      <c r="H36">
        <f>IFERROR(_xlfn.XLOOKUP($B37,[1]Sheet1!$A:$A,[1]Sheet1!$E:$E),0)</f>
        <v>73</v>
      </c>
      <c r="I36">
        <v>11550</v>
      </c>
      <c r="J36">
        <v>51061</v>
      </c>
      <c r="K36">
        <v>61440</v>
      </c>
      <c r="L36">
        <v>42039</v>
      </c>
    </row>
    <row r="37" spans="1:12">
      <c r="A37" t="s">
        <v>335</v>
      </c>
      <c r="B37" t="s">
        <v>336</v>
      </c>
      <c r="C37" t="s">
        <v>70</v>
      </c>
      <c r="D37" t="s">
        <v>71</v>
      </c>
      <c r="E37" s="5">
        <f>IFERROR(_xlfn.XLOOKUP($B38,[1]Sheet1!$A:$A,[1]Sheet1!$B:$B),0)</f>
        <v>55</v>
      </c>
      <c r="F37" s="5">
        <f>IFERROR(_xlfn.XLOOKUP($B38,[1]Sheet1!$A:$A,[1]Sheet1!$C:$C),0)</f>
        <v>8</v>
      </c>
      <c r="G37">
        <f>IFERROR(_xlfn.XLOOKUP($B38,[1]Sheet1!$A:$A,[1]Sheet1!$D:$D),0)</f>
        <v>37</v>
      </c>
      <c r="H37">
        <f>IFERROR(_xlfn.XLOOKUP($B38,[1]Sheet1!$A:$A,[1]Sheet1!$E:$E),0)</f>
        <v>14</v>
      </c>
      <c r="I37">
        <v>26440</v>
      </c>
      <c r="J37">
        <v>21802</v>
      </c>
      <c r="K37">
        <v>6131</v>
      </c>
      <c r="L37">
        <v>2320</v>
      </c>
    </row>
    <row r="38" spans="1:12">
      <c r="A38" t="s">
        <v>563</v>
      </c>
      <c r="B38" t="s">
        <v>564</v>
      </c>
      <c r="C38" t="s">
        <v>553</v>
      </c>
      <c r="D38" t="s">
        <v>554</v>
      </c>
      <c r="E38" s="5">
        <f>IFERROR(_xlfn.XLOOKUP($B39,[1]Sheet1!$A:$A,[1]Sheet1!$B:$B),0)</f>
        <v>39</v>
      </c>
      <c r="F38" s="5">
        <f>IFERROR(_xlfn.XLOOKUP($B39,[1]Sheet1!$A:$A,[1]Sheet1!$C:$C),0)</f>
        <v>73</v>
      </c>
      <c r="G38">
        <f>IFERROR(_xlfn.XLOOKUP($B39,[1]Sheet1!$A:$A,[1]Sheet1!$D:$D),0)</f>
        <v>58</v>
      </c>
      <c r="H38">
        <f>IFERROR(_xlfn.XLOOKUP($B39,[1]Sheet1!$A:$A,[1]Sheet1!$E:$E),0)</f>
        <v>45</v>
      </c>
      <c r="I38">
        <v>24563</v>
      </c>
      <c r="J38">
        <v>40562</v>
      </c>
      <c r="K38">
        <v>27990</v>
      </c>
      <c r="L38">
        <v>31895</v>
      </c>
    </row>
    <row r="39" spans="1:12">
      <c r="A39" t="s">
        <v>459</v>
      </c>
      <c r="B39" t="s">
        <v>460</v>
      </c>
      <c r="C39" t="s">
        <v>46</v>
      </c>
      <c r="D39" t="s">
        <v>47</v>
      </c>
      <c r="E39" s="5">
        <f>IFERROR(_xlfn.XLOOKUP($B40,[1]Sheet1!$A:$A,[1]Sheet1!$B:$B),0)</f>
        <v>22</v>
      </c>
      <c r="F39" s="5">
        <f>IFERROR(_xlfn.XLOOKUP($B40,[1]Sheet1!$A:$A,[1]Sheet1!$C:$C),0)</f>
        <v>3</v>
      </c>
      <c r="G39">
        <f>IFERROR(_xlfn.XLOOKUP($B40,[1]Sheet1!$A:$A,[1]Sheet1!$D:$D),0)</f>
        <v>19</v>
      </c>
      <c r="H39">
        <f>IFERROR(_xlfn.XLOOKUP($B40,[1]Sheet1!$A:$A,[1]Sheet1!$E:$E),0)</f>
        <v>13</v>
      </c>
      <c r="I39">
        <v>15711</v>
      </c>
      <c r="J39">
        <v>14902</v>
      </c>
      <c r="K39">
        <v>5878</v>
      </c>
      <c r="L39">
        <v>3642</v>
      </c>
    </row>
    <row r="40" spans="1:12">
      <c r="A40" t="s">
        <v>246</v>
      </c>
      <c r="B40" t="s">
        <v>247</v>
      </c>
      <c r="C40" t="s">
        <v>70</v>
      </c>
      <c r="D40" t="s">
        <v>71</v>
      </c>
      <c r="E40" s="5">
        <f>IFERROR(_xlfn.XLOOKUP($B41,[1]Sheet1!$A:$A,[1]Sheet1!$B:$B),0)</f>
        <v>10</v>
      </c>
      <c r="F40" s="5">
        <f>IFERROR(_xlfn.XLOOKUP($B41,[1]Sheet1!$A:$A,[1]Sheet1!$C:$C),0)</f>
        <v>43</v>
      </c>
      <c r="G40">
        <f>IFERROR(_xlfn.XLOOKUP($B41,[1]Sheet1!$A:$A,[1]Sheet1!$D:$D),0)</f>
        <v>25</v>
      </c>
      <c r="H40">
        <f>IFERROR(_xlfn.XLOOKUP($B41,[1]Sheet1!$A:$A,[1]Sheet1!$E:$E),0)</f>
        <v>25</v>
      </c>
      <c r="I40">
        <v>6102</v>
      </c>
      <c r="J40">
        <v>11538</v>
      </c>
      <c r="K40">
        <v>11710</v>
      </c>
      <c r="L40">
        <v>9189</v>
      </c>
    </row>
    <row r="41" spans="1:12">
      <c r="A41" t="s">
        <v>365</v>
      </c>
      <c r="B41" t="s">
        <v>366</v>
      </c>
      <c r="C41" t="s">
        <v>36</v>
      </c>
      <c r="D41" t="s">
        <v>37</v>
      </c>
      <c r="E41" s="5">
        <f>IFERROR(_xlfn.XLOOKUP($B42,[1]Sheet1!$A:$A,[1]Sheet1!$B:$B),0)</f>
        <v>32</v>
      </c>
      <c r="F41" s="5">
        <f>IFERROR(_xlfn.XLOOKUP($B42,[1]Sheet1!$A:$A,[1]Sheet1!$C:$C),0)</f>
        <v>5</v>
      </c>
      <c r="G41">
        <f>IFERROR(_xlfn.XLOOKUP($B42,[1]Sheet1!$A:$A,[1]Sheet1!$D:$D),0)</f>
        <v>38</v>
      </c>
      <c r="H41">
        <f>IFERROR(_xlfn.XLOOKUP($B42,[1]Sheet1!$A:$A,[1]Sheet1!$E:$E),0)</f>
        <v>16</v>
      </c>
      <c r="I41">
        <v>17519</v>
      </c>
      <c r="J41">
        <v>17392</v>
      </c>
      <c r="K41">
        <v>7816</v>
      </c>
      <c r="L41">
        <v>4524</v>
      </c>
    </row>
    <row r="42" spans="1:12">
      <c r="A42" s="1" t="s">
        <v>676</v>
      </c>
      <c r="B42" s="1" t="s">
        <v>677</v>
      </c>
      <c r="C42" t="s">
        <v>80</v>
      </c>
      <c r="D42" t="s">
        <v>81</v>
      </c>
      <c r="E42" s="5">
        <f>IFERROR(_xlfn.XLOOKUP($B43,[1]Sheet1!$A:$A,[1]Sheet1!$B:$B),0)</f>
        <v>134</v>
      </c>
      <c r="F42" s="5">
        <f>IFERROR(_xlfn.XLOOKUP($B43,[1]Sheet1!$A:$A,[1]Sheet1!$C:$C),0)</f>
        <v>103</v>
      </c>
      <c r="G42">
        <f>IFERROR(_xlfn.XLOOKUP($B43,[1]Sheet1!$A:$A,[1]Sheet1!$D:$D),0)</f>
        <v>90</v>
      </c>
      <c r="H42">
        <f>IFERROR(_xlfn.XLOOKUP($B43,[1]Sheet1!$A:$A,[1]Sheet1!$E:$E),0)</f>
        <v>87</v>
      </c>
      <c r="I42">
        <v>75661</v>
      </c>
      <c r="J42">
        <v>66450</v>
      </c>
      <c r="K42">
        <v>39127</v>
      </c>
      <c r="L42">
        <v>31682</v>
      </c>
    </row>
    <row r="43" spans="1:12">
      <c r="A43" t="s">
        <v>281</v>
      </c>
      <c r="B43" t="s">
        <v>282</v>
      </c>
      <c r="C43" t="s">
        <v>14</v>
      </c>
      <c r="D43" t="s">
        <v>15</v>
      </c>
      <c r="E43" s="5">
        <f>IFERROR(_xlfn.XLOOKUP($B44,[1]Sheet1!$A:$A,[1]Sheet1!$B:$B),0)</f>
        <v>12</v>
      </c>
      <c r="F43" s="5">
        <f>IFERROR(_xlfn.XLOOKUP($B44,[1]Sheet1!$A:$A,[1]Sheet1!$C:$C),0)</f>
        <v>15</v>
      </c>
      <c r="G43">
        <f>IFERROR(_xlfn.XLOOKUP($B44,[1]Sheet1!$A:$A,[1]Sheet1!$D:$D),0)</f>
        <v>28</v>
      </c>
      <c r="H43">
        <f>IFERROR(_xlfn.XLOOKUP($B44,[1]Sheet1!$A:$A,[1]Sheet1!$E:$E),0)</f>
        <v>46</v>
      </c>
      <c r="I43">
        <v>5650</v>
      </c>
      <c r="J43">
        <v>11921</v>
      </c>
      <c r="K43">
        <v>18580</v>
      </c>
      <c r="L43">
        <v>2788</v>
      </c>
    </row>
    <row r="44" spans="1:12">
      <c r="A44" t="s">
        <v>481</v>
      </c>
      <c r="B44" t="s">
        <v>482</v>
      </c>
      <c r="C44" t="s">
        <v>14</v>
      </c>
      <c r="D44" t="s">
        <v>15</v>
      </c>
      <c r="E44" s="5">
        <f>IFERROR(_xlfn.XLOOKUP($B45,[1]Sheet1!$A:$A,[1]Sheet1!$B:$B),0)</f>
        <v>35</v>
      </c>
      <c r="F44" s="5">
        <f>IFERROR(_xlfn.XLOOKUP($B45,[1]Sheet1!$A:$A,[1]Sheet1!$C:$C),0)</f>
        <v>6</v>
      </c>
      <c r="G44">
        <f>IFERROR(_xlfn.XLOOKUP($B45,[1]Sheet1!$A:$A,[1]Sheet1!$D:$D),0)</f>
        <v>72</v>
      </c>
      <c r="H44">
        <f>IFERROR(_xlfn.XLOOKUP($B45,[1]Sheet1!$A:$A,[1]Sheet1!$E:$E),0)</f>
        <v>47</v>
      </c>
      <c r="I44">
        <v>15185</v>
      </c>
      <c r="J44">
        <v>31115</v>
      </c>
      <c r="K44">
        <v>22817</v>
      </c>
      <c r="L44">
        <v>9735</v>
      </c>
    </row>
    <row r="45" spans="1:12">
      <c r="A45" t="s">
        <v>651</v>
      </c>
      <c r="B45" t="s">
        <v>652</v>
      </c>
      <c r="C45" t="s">
        <v>621</v>
      </c>
      <c r="D45" t="s">
        <v>622</v>
      </c>
      <c r="E45" s="5">
        <f>IFERROR(_xlfn.XLOOKUP($B46,[1]Sheet1!$A:$A,[1]Sheet1!$B:$B),0)</f>
        <v>18</v>
      </c>
      <c r="F45" s="5">
        <f>IFERROR(_xlfn.XLOOKUP($B46,[1]Sheet1!$A:$A,[1]Sheet1!$C:$C),0)</f>
        <v>1</v>
      </c>
      <c r="G45">
        <f>IFERROR(_xlfn.XLOOKUP($B46,[1]Sheet1!$A:$A,[1]Sheet1!$D:$D),0)</f>
        <v>42</v>
      </c>
      <c r="H45">
        <f>IFERROR(_xlfn.XLOOKUP($B46,[1]Sheet1!$A:$A,[1]Sheet1!$E:$E),0)</f>
        <v>41</v>
      </c>
      <c r="I45">
        <v>13093</v>
      </c>
      <c r="J45">
        <v>30283</v>
      </c>
      <c r="K45">
        <v>26464</v>
      </c>
      <c r="L45">
        <v>5090</v>
      </c>
    </row>
    <row r="46" spans="1:12">
      <c r="A46" t="s">
        <v>541</v>
      </c>
      <c r="B46" t="s">
        <v>542</v>
      </c>
      <c r="C46" t="s">
        <v>24</v>
      </c>
      <c r="D46" t="s">
        <v>25</v>
      </c>
      <c r="E46" s="5">
        <f>IFERROR(_xlfn.XLOOKUP($B47,[1]Sheet1!$A:$A,[1]Sheet1!$B:$B),0)</f>
        <v>35</v>
      </c>
      <c r="F46" s="5">
        <f>IFERROR(_xlfn.XLOOKUP($B47,[1]Sheet1!$A:$A,[1]Sheet1!$C:$C),0)</f>
        <v>12</v>
      </c>
      <c r="G46">
        <f>IFERROR(_xlfn.XLOOKUP($B47,[1]Sheet1!$A:$A,[1]Sheet1!$D:$D),0)</f>
        <v>53</v>
      </c>
      <c r="H46">
        <f>IFERROR(_xlfn.XLOOKUP($B47,[1]Sheet1!$A:$A,[1]Sheet1!$E:$E),0)</f>
        <v>78</v>
      </c>
      <c r="I46">
        <v>13730</v>
      </c>
      <c r="J46">
        <v>25842</v>
      </c>
      <c r="K46">
        <v>37356</v>
      </c>
      <c r="L46">
        <v>9813</v>
      </c>
    </row>
    <row r="47" spans="1:12">
      <c r="A47" t="s">
        <v>124</v>
      </c>
      <c r="B47" t="s">
        <v>125</v>
      </c>
      <c r="C47" t="s">
        <v>70</v>
      </c>
      <c r="D47" t="s">
        <v>71</v>
      </c>
      <c r="E47" s="5">
        <f>IFERROR(_xlfn.XLOOKUP($B48,[1]Sheet1!$A:$A,[1]Sheet1!$B:$B),0)</f>
        <v>5</v>
      </c>
      <c r="F47" s="5">
        <f>IFERROR(_xlfn.XLOOKUP($B48,[1]Sheet1!$A:$A,[1]Sheet1!$C:$C),0)</f>
        <v>25</v>
      </c>
      <c r="G47">
        <f>IFERROR(_xlfn.XLOOKUP($B48,[1]Sheet1!$A:$A,[1]Sheet1!$D:$D),0)</f>
        <v>19</v>
      </c>
      <c r="H47">
        <f>IFERROR(_xlfn.XLOOKUP($B48,[1]Sheet1!$A:$A,[1]Sheet1!$E:$E),0)</f>
        <v>37</v>
      </c>
      <c r="I47">
        <v>5700</v>
      </c>
      <c r="J47">
        <v>13843</v>
      </c>
      <c r="K47">
        <v>14478</v>
      </c>
      <c r="L47">
        <v>16107</v>
      </c>
    </row>
    <row r="48" spans="1:12">
      <c r="A48" t="s">
        <v>565</v>
      </c>
      <c r="B48" t="s">
        <v>566</v>
      </c>
      <c r="C48" t="s">
        <v>553</v>
      </c>
      <c r="D48" t="s">
        <v>554</v>
      </c>
      <c r="E48" s="5">
        <f>IFERROR(_xlfn.XLOOKUP($B49,[1]Sheet1!$A:$A,[1]Sheet1!$B:$B),0)</f>
        <v>1</v>
      </c>
      <c r="F48" s="5">
        <f>IFERROR(_xlfn.XLOOKUP($B49,[1]Sheet1!$A:$A,[1]Sheet1!$C:$C),0)</f>
        <v>108</v>
      </c>
      <c r="G48">
        <f>IFERROR(_xlfn.XLOOKUP($B49,[1]Sheet1!$A:$A,[1]Sheet1!$D:$D),0)</f>
        <v>5</v>
      </c>
      <c r="H48">
        <f>IFERROR(_xlfn.XLOOKUP($B49,[1]Sheet1!$A:$A,[1]Sheet1!$E:$E),0)</f>
        <v>16</v>
      </c>
      <c r="I48">
        <v>1584</v>
      </c>
      <c r="J48">
        <v>3294</v>
      </c>
      <c r="K48">
        <v>7504</v>
      </c>
      <c r="L48">
        <v>52159</v>
      </c>
    </row>
    <row r="49" spans="1:12">
      <c r="A49" t="s">
        <v>391</v>
      </c>
      <c r="B49" t="s">
        <v>392</v>
      </c>
      <c r="C49" t="s">
        <v>46</v>
      </c>
      <c r="D49" t="s">
        <v>47</v>
      </c>
      <c r="E49" s="5">
        <f>IFERROR(_xlfn.XLOOKUP($B50,[1]Sheet1!$A:$A,[1]Sheet1!$B:$B),0)</f>
        <v>28</v>
      </c>
      <c r="F49" s="5">
        <f>IFERROR(_xlfn.XLOOKUP($B50,[1]Sheet1!$A:$A,[1]Sheet1!$C:$C),0)</f>
        <v>1</v>
      </c>
      <c r="G49">
        <f>IFERROR(_xlfn.XLOOKUP($B50,[1]Sheet1!$A:$A,[1]Sheet1!$D:$D),0)</f>
        <v>28</v>
      </c>
      <c r="H49">
        <f>IFERROR(_xlfn.XLOOKUP($B50,[1]Sheet1!$A:$A,[1]Sheet1!$E:$E),0)</f>
        <v>16</v>
      </c>
      <c r="I49">
        <v>13006</v>
      </c>
      <c r="J49">
        <v>20293</v>
      </c>
      <c r="K49">
        <v>5183</v>
      </c>
      <c r="L49">
        <v>4092</v>
      </c>
    </row>
    <row r="50" spans="1:12">
      <c r="A50" t="s">
        <v>260</v>
      </c>
      <c r="B50" t="s">
        <v>261</v>
      </c>
      <c r="C50" t="s">
        <v>80</v>
      </c>
      <c r="D50" t="s">
        <v>81</v>
      </c>
      <c r="E50" s="5">
        <f>IFERROR(_xlfn.XLOOKUP($B51,[1]Sheet1!$A:$A,[1]Sheet1!$B:$B),0)</f>
        <v>48</v>
      </c>
      <c r="F50" s="5">
        <f>IFERROR(_xlfn.XLOOKUP($B51,[1]Sheet1!$A:$A,[1]Sheet1!$C:$C),0)</f>
        <v>14</v>
      </c>
      <c r="G50">
        <f>IFERROR(_xlfn.XLOOKUP($B51,[1]Sheet1!$A:$A,[1]Sheet1!$D:$D),0)</f>
        <v>49</v>
      </c>
      <c r="H50">
        <f>IFERROR(_xlfn.XLOOKUP($B51,[1]Sheet1!$A:$A,[1]Sheet1!$E:$E),0)</f>
        <v>26</v>
      </c>
      <c r="I50">
        <v>20082</v>
      </c>
      <c r="J50">
        <v>19750</v>
      </c>
      <c r="K50">
        <v>11055</v>
      </c>
      <c r="L50">
        <v>8925</v>
      </c>
    </row>
    <row r="51" spans="1:12">
      <c r="A51" t="s">
        <v>647</v>
      </c>
      <c r="B51" t="s">
        <v>648</v>
      </c>
      <c r="C51" t="s">
        <v>621</v>
      </c>
      <c r="D51" t="s">
        <v>622</v>
      </c>
      <c r="E51" s="5">
        <f>IFERROR(_xlfn.XLOOKUP($B52,[1]Sheet1!$A:$A,[1]Sheet1!$B:$B),0)</f>
        <v>0</v>
      </c>
      <c r="F51" s="5">
        <f>IFERROR(_xlfn.XLOOKUP($B52,[1]Sheet1!$A:$A,[1]Sheet1!$C:$C),0)</f>
        <v>0</v>
      </c>
      <c r="G51">
        <f>IFERROR(_xlfn.XLOOKUP($B52,[1]Sheet1!$A:$A,[1]Sheet1!$D:$D),0)</f>
        <v>0</v>
      </c>
      <c r="H51">
        <f>IFERROR(_xlfn.XLOOKUP($B52,[1]Sheet1!$A:$A,[1]Sheet1!$E:$E),0)</f>
        <v>0</v>
      </c>
      <c r="I51">
        <v>20772</v>
      </c>
      <c r="J51">
        <v>43709</v>
      </c>
      <c r="K51">
        <v>43617</v>
      </c>
      <c r="L51">
        <v>29755</v>
      </c>
    </row>
    <row r="52" spans="1:12">
      <c r="A52" t="s">
        <v>138</v>
      </c>
      <c r="B52" t="s">
        <v>139</v>
      </c>
      <c r="C52" t="s">
        <v>14</v>
      </c>
      <c r="D52" t="s">
        <v>15</v>
      </c>
      <c r="E52" s="5">
        <f>IFERROR(_xlfn.XLOOKUP($B53,[1]Sheet1!$A:$A,[1]Sheet1!$B:$B),0)</f>
        <v>22</v>
      </c>
      <c r="F52" s="5">
        <f>IFERROR(_xlfn.XLOOKUP($B53,[1]Sheet1!$A:$A,[1]Sheet1!$C:$C),0)</f>
        <v>69</v>
      </c>
      <c r="G52">
        <f>IFERROR(_xlfn.XLOOKUP($B53,[1]Sheet1!$A:$A,[1]Sheet1!$D:$D),0)</f>
        <v>62</v>
      </c>
      <c r="H52">
        <f>IFERROR(_xlfn.XLOOKUP($B53,[1]Sheet1!$A:$A,[1]Sheet1!$E:$E),0)</f>
        <v>88</v>
      </c>
      <c r="I52">
        <v>12643</v>
      </c>
      <c r="J52">
        <v>18558</v>
      </c>
      <c r="K52">
        <v>13638</v>
      </c>
      <c r="L52">
        <v>4268</v>
      </c>
    </row>
    <row r="53" spans="1:12">
      <c r="A53" t="s">
        <v>637</v>
      </c>
      <c r="B53" t="s">
        <v>638</v>
      </c>
      <c r="C53" t="s">
        <v>621</v>
      </c>
      <c r="D53" t="s">
        <v>622</v>
      </c>
      <c r="E53" s="5">
        <f>IFERROR(_xlfn.XLOOKUP($B54,[1]Sheet1!$A:$A,[1]Sheet1!$B:$B),0)</f>
        <v>49</v>
      </c>
      <c r="F53" s="5">
        <f>IFERROR(_xlfn.XLOOKUP($B54,[1]Sheet1!$A:$A,[1]Sheet1!$C:$C),0)</f>
        <v>4</v>
      </c>
      <c r="G53">
        <f>IFERROR(_xlfn.XLOOKUP($B54,[1]Sheet1!$A:$A,[1]Sheet1!$D:$D),0)</f>
        <v>38</v>
      </c>
      <c r="H53">
        <f>IFERROR(_xlfn.XLOOKUP($B54,[1]Sheet1!$A:$A,[1]Sheet1!$E:$E),0)</f>
        <v>27</v>
      </c>
      <c r="I53">
        <v>32928</v>
      </c>
      <c r="J53">
        <v>27390</v>
      </c>
      <c r="K53">
        <v>15352</v>
      </c>
      <c r="L53">
        <v>3802</v>
      </c>
    </row>
    <row r="54" spans="1:12">
      <c r="A54" t="s">
        <v>194</v>
      </c>
      <c r="B54" t="s">
        <v>195</v>
      </c>
      <c r="C54" t="s">
        <v>70</v>
      </c>
      <c r="D54" t="s">
        <v>71</v>
      </c>
      <c r="E54" s="5">
        <f>IFERROR(_xlfn.XLOOKUP($B55,[1]Sheet1!$A:$A,[1]Sheet1!$B:$B),0)</f>
        <v>29</v>
      </c>
      <c r="F54" s="5">
        <f>IFERROR(_xlfn.XLOOKUP($B55,[1]Sheet1!$A:$A,[1]Sheet1!$C:$C),0)</f>
        <v>2</v>
      </c>
      <c r="G54">
        <f>IFERROR(_xlfn.XLOOKUP($B55,[1]Sheet1!$A:$A,[1]Sheet1!$D:$D),0)</f>
        <v>19</v>
      </c>
      <c r="H54">
        <f>IFERROR(_xlfn.XLOOKUP($B55,[1]Sheet1!$A:$A,[1]Sheet1!$E:$E),0)</f>
        <v>4</v>
      </c>
      <c r="I54">
        <v>15580</v>
      </c>
      <c r="J54">
        <v>14257</v>
      </c>
      <c r="K54">
        <v>2842</v>
      </c>
      <c r="L54">
        <v>2866</v>
      </c>
    </row>
    <row r="55" spans="1:12">
      <c r="A55" t="s">
        <v>120</v>
      </c>
      <c r="B55" t="s">
        <v>121</v>
      </c>
      <c r="C55" t="s">
        <v>70</v>
      </c>
      <c r="D55" t="s">
        <v>71</v>
      </c>
      <c r="E55" s="5">
        <f>IFERROR(_xlfn.XLOOKUP($B56,[1]Sheet1!$A:$A,[1]Sheet1!$B:$B),0)</f>
        <v>81</v>
      </c>
      <c r="F55" s="5">
        <f>IFERROR(_xlfn.XLOOKUP($B56,[1]Sheet1!$A:$A,[1]Sheet1!$C:$C),0)</f>
        <v>28</v>
      </c>
      <c r="G55">
        <f>IFERROR(_xlfn.XLOOKUP($B56,[1]Sheet1!$A:$A,[1]Sheet1!$D:$D),0)</f>
        <v>106</v>
      </c>
      <c r="H55">
        <f>IFERROR(_xlfn.XLOOKUP($B56,[1]Sheet1!$A:$A,[1]Sheet1!$E:$E),0)</f>
        <v>73</v>
      </c>
      <c r="I55">
        <v>35355</v>
      </c>
      <c r="J55">
        <v>41573</v>
      </c>
      <c r="K55">
        <v>28303</v>
      </c>
      <c r="L55">
        <v>12296</v>
      </c>
    </row>
    <row r="56" spans="1:12">
      <c r="A56" t="s">
        <v>633</v>
      </c>
      <c r="B56" t="s">
        <v>634</v>
      </c>
      <c r="C56" t="s">
        <v>621</v>
      </c>
      <c r="D56" t="s">
        <v>622</v>
      </c>
      <c r="E56" s="5">
        <f>IFERROR(_xlfn.XLOOKUP($B57,[1]Sheet1!$A:$A,[1]Sheet1!$B:$B),0)</f>
        <v>15</v>
      </c>
      <c r="F56" s="5">
        <f>IFERROR(_xlfn.XLOOKUP($B57,[1]Sheet1!$A:$A,[1]Sheet1!$C:$C),0)</f>
        <v>3</v>
      </c>
      <c r="G56">
        <f>IFERROR(_xlfn.XLOOKUP($B57,[1]Sheet1!$A:$A,[1]Sheet1!$D:$D),0)</f>
        <v>6</v>
      </c>
      <c r="H56">
        <f>IFERROR(_xlfn.XLOOKUP($B57,[1]Sheet1!$A:$A,[1]Sheet1!$E:$E),0)</f>
        <v>8</v>
      </c>
      <c r="I56">
        <v>15661</v>
      </c>
      <c r="J56">
        <v>7146</v>
      </c>
      <c r="K56">
        <v>4342</v>
      </c>
      <c r="L56">
        <v>1986</v>
      </c>
    </row>
    <row r="57" spans="1:12">
      <c r="A57" t="s">
        <v>307</v>
      </c>
      <c r="B57" t="s">
        <v>308</v>
      </c>
      <c r="C57" t="s">
        <v>36</v>
      </c>
      <c r="D57" t="s">
        <v>37</v>
      </c>
      <c r="E57" s="5">
        <f>IFERROR(_xlfn.XLOOKUP($B58,[1]Sheet1!$A:$A,[1]Sheet1!$B:$B),0)</f>
        <v>59</v>
      </c>
      <c r="F57" s="5">
        <f>IFERROR(_xlfn.XLOOKUP($B58,[1]Sheet1!$A:$A,[1]Sheet1!$C:$C),0)</f>
        <v>16</v>
      </c>
      <c r="G57">
        <f>IFERROR(_xlfn.XLOOKUP($B58,[1]Sheet1!$A:$A,[1]Sheet1!$D:$D),0)</f>
        <v>62</v>
      </c>
      <c r="H57">
        <f>IFERROR(_xlfn.XLOOKUP($B58,[1]Sheet1!$A:$A,[1]Sheet1!$E:$E),0)</f>
        <v>28</v>
      </c>
      <c r="I57">
        <v>23765</v>
      </c>
      <c r="J57">
        <v>28527</v>
      </c>
      <c r="K57">
        <v>13215</v>
      </c>
      <c r="L57">
        <v>6364</v>
      </c>
    </row>
    <row r="58" spans="1:12">
      <c r="A58" t="s">
        <v>196</v>
      </c>
      <c r="B58" t="s">
        <v>197</v>
      </c>
      <c r="C58" t="s">
        <v>70</v>
      </c>
      <c r="D58" t="s">
        <v>71</v>
      </c>
      <c r="E58" s="5">
        <f>IFERROR(_xlfn.XLOOKUP($B59,[1]Sheet1!$A:$A,[1]Sheet1!$B:$B),0)</f>
        <v>52</v>
      </c>
      <c r="F58" s="5">
        <f>IFERROR(_xlfn.XLOOKUP($B59,[1]Sheet1!$A:$A,[1]Sheet1!$C:$C),0)</f>
        <v>27</v>
      </c>
      <c r="G58">
        <f>IFERROR(_xlfn.XLOOKUP($B59,[1]Sheet1!$A:$A,[1]Sheet1!$D:$D),0)</f>
        <v>42</v>
      </c>
      <c r="H58">
        <f>IFERROR(_xlfn.XLOOKUP($B59,[1]Sheet1!$A:$A,[1]Sheet1!$E:$E),0)</f>
        <v>21</v>
      </c>
      <c r="I58">
        <v>22310</v>
      </c>
      <c r="J58">
        <v>23467</v>
      </c>
      <c r="K58">
        <v>14117</v>
      </c>
      <c r="L58">
        <v>13380</v>
      </c>
    </row>
    <row r="59" spans="1:12">
      <c r="A59" t="s">
        <v>212</v>
      </c>
      <c r="B59" t="s">
        <v>213</v>
      </c>
      <c r="C59" t="s">
        <v>54</v>
      </c>
      <c r="D59" t="s">
        <v>55</v>
      </c>
      <c r="E59" s="5">
        <f>IFERROR(_xlfn.XLOOKUP($B60,[1]Sheet1!$A:$A,[1]Sheet1!$B:$B),0)</f>
        <v>22</v>
      </c>
      <c r="F59" s="5">
        <f>IFERROR(_xlfn.XLOOKUP($B60,[1]Sheet1!$A:$A,[1]Sheet1!$C:$C),0)</f>
        <v>38</v>
      </c>
      <c r="G59">
        <f>IFERROR(_xlfn.XLOOKUP($B60,[1]Sheet1!$A:$A,[1]Sheet1!$D:$D),0)</f>
        <v>32</v>
      </c>
      <c r="H59">
        <f>IFERROR(_xlfn.XLOOKUP($B60,[1]Sheet1!$A:$A,[1]Sheet1!$E:$E),0)</f>
        <v>41</v>
      </c>
      <c r="I59">
        <v>9690</v>
      </c>
      <c r="J59">
        <v>17599</v>
      </c>
      <c r="K59">
        <v>11108</v>
      </c>
      <c r="L59">
        <v>10148</v>
      </c>
    </row>
    <row r="60" spans="1:12">
      <c r="A60" t="s">
        <v>375</v>
      </c>
      <c r="B60" t="s">
        <v>376</v>
      </c>
      <c r="C60" t="s">
        <v>80</v>
      </c>
      <c r="D60" t="s">
        <v>81</v>
      </c>
      <c r="E60" s="5">
        <f>IFERROR(_xlfn.XLOOKUP($B61,[1]Sheet1!$A:$A,[1]Sheet1!$B:$B),0)</f>
        <v>37</v>
      </c>
      <c r="F60" s="5">
        <f>IFERROR(_xlfn.XLOOKUP($B61,[1]Sheet1!$A:$A,[1]Sheet1!$C:$C),0)</f>
        <v>8</v>
      </c>
      <c r="G60">
        <f>IFERROR(_xlfn.XLOOKUP($B61,[1]Sheet1!$A:$A,[1]Sheet1!$D:$D),0)</f>
        <v>87</v>
      </c>
      <c r="H60">
        <f>IFERROR(_xlfn.XLOOKUP($B61,[1]Sheet1!$A:$A,[1]Sheet1!$E:$E),0)</f>
        <v>43</v>
      </c>
      <c r="I60">
        <v>20046</v>
      </c>
      <c r="J60">
        <v>23194</v>
      </c>
      <c r="K60">
        <v>14268</v>
      </c>
      <c r="L60">
        <v>6408</v>
      </c>
    </row>
    <row r="61" spans="1:12">
      <c r="A61" t="s">
        <v>106</v>
      </c>
      <c r="B61" t="s">
        <v>107</v>
      </c>
      <c r="C61" t="s">
        <v>14</v>
      </c>
      <c r="D61" t="s">
        <v>15</v>
      </c>
      <c r="E61" s="5">
        <f>IFERROR(_xlfn.XLOOKUP($B62,[1]Sheet1!$A:$A,[1]Sheet1!$B:$B),0)</f>
        <v>177</v>
      </c>
      <c r="F61" s="5">
        <f>IFERROR(_xlfn.XLOOKUP($B62,[1]Sheet1!$A:$A,[1]Sheet1!$C:$C),0)</f>
        <v>32</v>
      </c>
      <c r="G61">
        <f>IFERROR(_xlfn.XLOOKUP($B62,[1]Sheet1!$A:$A,[1]Sheet1!$D:$D),0)</f>
        <v>144</v>
      </c>
      <c r="H61">
        <f>IFERROR(_xlfn.XLOOKUP($B62,[1]Sheet1!$A:$A,[1]Sheet1!$E:$E),0)</f>
        <v>86</v>
      </c>
      <c r="I61">
        <v>63928</v>
      </c>
      <c r="J61">
        <v>56799</v>
      </c>
      <c r="K61">
        <v>34980</v>
      </c>
      <c r="L61">
        <v>14284</v>
      </c>
    </row>
    <row r="62" spans="1:12">
      <c r="A62" t="s">
        <v>108</v>
      </c>
      <c r="B62" t="s">
        <v>109</v>
      </c>
      <c r="C62" t="s">
        <v>14</v>
      </c>
      <c r="D62" t="s">
        <v>15</v>
      </c>
      <c r="E62" s="5">
        <f>IFERROR(_xlfn.XLOOKUP($B63,[1]Sheet1!$A:$A,[1]Sheet1!$B:$B),0)</f>
        <v>91</v>
      </c>
      <c r="F62" s="5">
        <f>IFERROR(_xlfn.XLOOKUP($B63,[1]Sheet1!$A:$A,[1]Sheet1!$C:$C),0)</f>
        <v>26</v>
      </c>
      <c r="G62">
        <f>IFERROR(_xlfn.XLOOKUP($B63,[1]Sheet1!$A:$A,[1]Sheet1!$D:$D),0)</f>
        <v>120</v>
      </c>
      <c r="H62">
        <f>IFERROR(_xlfn.XLOOKUP($B63,[1]Sheet1!$A:$A,[1]Sheet1!$E:$E),0)</f>
        <v>69</v>
      </c>
      <c r="I62">
        <v>47457</v>
      </c>
      <c r="J62">
        <v>56297</v>
      </c>
      <c r="K62">
        <v>31924</v>
      </c>
      <c r="L62">
        <v>15140</v>
      </c>
    </row>
    <row r="63" spans="1:12">
      <c r="A63" t="s">
        <v>150</v>
      </c>
      <c r="B63" t="s">
        <v>151</v>
      </c>
      <c r="C63" t="s">
        <v>36</v>
      </c>
      <c r="D63" t="s">
        <v>37</v>
      </c>
      <c r="E63" s="5">
        <f>IFERROR(_xlfn.XLOOKUP($B64,[1]Sheet1!$A:$A,[1]Sheet1!$B:$B),0)</f>
        <v>22</v>
      </c>
      <c r="F63" s="5">
        <f>IFERROR(_xlfn.XLOOKUP($B64,[1]Sheet1!$A:$A,[1]Sheet1!$C:$C),0)</f>
        <v>10</v>
      </c>
      <c r="G63">
        <f>IFERROR(_xlfn.XLOOKUP($B64,[1]Sheet1!$A:$A,[1]Sheet1!$D:$D),0)</f>
        <v>31</v>
      </c>
      <c r="H63">
        <f>IFERROR(_xlfn.XLOOKUP($B64,[1]Sheet1!$A:$A,[1]Sheet1!$E:$E),0)</f>
        <v>27</v>
      </c>
      <c r="I63">
        <v>11874</v>
      </c>
      <c r="J63">
        <v>21594</v>
      </c>
      <c r="K63">
        <v>8564</v>
      </c>
      <c r="L63">
        <v>4885</v>
      </c>
    </row>
    <row r="64" spans="1:12">
      <c r="A64" t="s">
        <v>449</v>
      </c>
      <c r="B64" t="s">
        <v>450</v>
      </c>
      <c r="C64" t="s">
        <v>80</v>
      </c>
      <c r="D64" t="s">
        <v>81</v>
      </c>
      <c r="E64" s="5">
        <f>IFERROR(_xlfn.XLOOKUP($B65,[1]Sheet1!$A:$A,[1]Sheet1!$B:$B),0)</f>
        <v>42</v>
      </c>
      <c r="F64" s="5">
        <f>IFERROR(_xlfn.XLOOKUP($B65,[1]Sheet1!$A:$A,[1]Sheet1!$C:$C),0)</f>
        <v>9</v>
      </c>
      <c r="G64">
        <f>IFERROR(_xlfn.XLOOKUP($B65,[1]Sheet1!$A:$A,[1]Sheet1!$D:$D),0)</f>
        <v>18</v>
      </c>
      <c r="H64">
        <f>IFERROR(_xlfn.XLOOKUP($B65,[1]Sheet1!$A:$A,[1]Sheet1!$E:$E),0)</f>
        <v>28</v>
      </c>
      <c r="I64">
        <v>19290</v>
      </c>
      <c r="J64">
        <v>15378</v>
      </c>
      <c r="K64">
        <v>9973</v>
      </c>
      <c r="L64">
        <v>6993</v>
      </c>
    </row>
    <row r="65" spans="1:12">
      <c r="A65" t="s">
        <v>283</v>
      </c>
      <c r="B65" t="s">
        <v>284</v>
      </c>
      <c r="C65" t="s">
        <v>14</v>
      </c>
      <c r="D65" t="s">
        <v>15</v>
      </c>
      <c r="E65" s="5">
        <f>IFERROR(_xlfn.XLOOKUP($B66,[1]Sheet1!$A:$A,[1]Sheet1!$B:$B),0)</f>
        <v>54</v>
      </c>
      <c r="F65" s="5">
        <f>IFERROR(_xlfn.XLOOKUP($B66,[1]Sheet1!$A:$A,[1]Sheet1!$C:$C),0)</f>
        <v>15</v>
      </c>
      <c r="G65">
        <f>IFERROR(_xlfn.XLOOKUP($B66,[1]Sheet1!$A:$A,[1]Sheet1!$D:$D),0)</f>
        <v>88</v>
      </c>
      <c r="H65">
        <f>IFERROR(_xlfn.XLOOKUP($B66,[1]Sheet1!$A:$A,[1]Sheet1!$E:$E),0)</f>
        <v>41</v>
      </c>
      <c r="I65">
        <v>16018</v>
      </c>
      <c r="J65">
        <v>16548</v>
      </c>
      <c r="K65">
        <v>12683</v>
      </c>
      <c r="L65">
        <v>3931</v>
      </c>
    </row>
    <row r="66" spans="1:12">
      <c r="A66" t="s">
        <v>551</v>
      </c>
      <c r="B66" t="s">
        <v>552</v>
      </c>
      <c r="C66" t="s">
        <v>553</v>
      </c>
      <c r="D66" t="s">
        <v>554</v>
      </c>
      <c r="E66" s="5">
        <f>IFERROR(_xlfn.XLOOKUP($B67,[1]Sheet1!$A:$A,[1]Sheet1!$B:$B),0)</f>
        <v>14</v>
      </c>
      <c r="F66" s="5">
        <f>IFERROR(_xlfn.XLOOKUP($B67,[1]Sheet1!$A:$A,[1]Sheet1!$C:$C),0)</f>
        <v>15</v>
      </c>
      <c r="G66">
        <f>IFERROR(_xlfn.XLOOKUP($B67,[1]Sheet1!$A:$A,[1]Sheet1!$D:$D),0)</f>
        <v>54</v>
      </c>
      <c r="H66">
        <f>IFERROR(_xlfn.XLOOKUP($B67,[1]Sheet1!$A:$A,[1]Sheet1!$E:$E),0)</f>
        <v>124</v>
      </c>
      <c r="I66">
        <v>7</v>
      </c>
      <c r="J66">
        <v>15</v>
      </c>
      <c r="K66">
        <v>78</v>
      </c>
      <c r="L66">
        <v>4273</v>
      </c>
    </row>
    <row r="67" spans="1:12">
      <c r="A67" t="s">
        <v>198</v>
      </c>
      <c r="B67" t="s">
        <v>199</v>
      </c>
      <c r="C67" t="s">
        <v>70</v>
      </c>
      <c r="D67" t="s">
        <v>71</v>
      </c>
      <c r="E67" s="5">
        <f>IFERROR(_xlfn.XLOOKUP($B68,[1]Sheet1!$A:$A,[1]Sheet1!$B:$B),0)</f>
        <v>0</v>
      </c>
      <c r="F67" s="5">
        <f>IFERROR(_xlfn.XLOOKUP($B68,[1]Sheet1!$A:$A,[1]Sheet1!$C:$C),0)</f>
        <v>4</v>
      </c>
      <c r="G67">
        <f>IFERROR(_xlfn.XLOOKUP($B68,[1]Sheet1!$A:$A,[1]Sheet1!$D:$D),0)</f>
        <v>0</v>
      </c>
      <c r="H67">
        <f>IFERROR(_xlfn.XLOOKUP($B68,[1]Sheet1!$A:$A,[1]Sheet1!$E:$E),0)</f>
        <v>1</v>
      </c>
      <c r="I67">
        <v>24439</v>
      </c>
      <c r="J67">
        <v>24512</v>
      </c>
      <c r="K67">
        <v>14398</v>
      </c>
      <c r="L67">
        <v>14157</v>
      </c>
    </row>
    <row r="68" spans="1:12">
      <c r="A68" t="s">
        <v>625</v>
      </c>
      <c r="B68" t="s">
        <v>626</v>
      </c>
      <c r="C68" t="s">
        <v>621</v>
      </c>
      <c r="D68" t="s">
        <v>622</v>
      </c>
      <c r="E68" s="5">
        <f>IFERROR(_xlfn.XLOOKUP($B69,[1]Sheet1!$A:$A,[1]Sheet1!$B:$B),0)</f>
        <v>0</v>
      </c>
      <c r="F68" s="5">
        <f>IFERROR(_xlfn.XLOOKUP($B69,[1]Sheet1!$A:$A,[1]Sheet1!$C:$C),0)</f>
        <v>0</v>
      </c>
      <c r="G68">
        <f>IFERROR(_xlfn.XLOOKUP($B69,[1]Sheet1!$A:$A,[1]Sheet1!$D:$D),0)</f>
        <v>0</v>
      </c>
      <c r="H68">
        <f>IFERROR(_xlfn.XLOOKUP($B69,[1]Sheet1!$A:$A,[1]Sheet1!$E:$E),0)</f>
        <v>0</v>
      </c>
      <c r="I68">
        <v>18928</v>
      </c>
      <c r="J68">
        <v>16541</v>
      </c>
      <c r="K68">
        <v>7381</v>
      </c>
      <c r="L68">
        <v>5947</v>
      </c>
    </row>
    <row r="69" spans="1:12">
      <c r="A69" t="s">
        <v>140</v>
      </c>
      <c r="B69" t="s">
        <v>141</v>
      </c>
      <c r="C69" t="s">
        <v>14</v>
      </c>
      <c r="D69" t="s">
        <v>15</v>
      </c>
      <c r="E69" s="5">
        <f>IFERROR(_xlfn.XLOOKUP($B70,[1]Sheet1!$A:$A,[1]Sheet1!$B:$B),0)</f>
        <v>34</v>
      </c>
      <c r="F69" s="5">
        <f>IFERROR(_xlfn.XLOOKUP($B70,[1]Sheet1!$A:$A,[1]Sheet1!$C:$C),0)</f>
        <v>41</v>
      </c>
      <c r="G69">
        <f>IFERROR(_xlfn.XLOOKUP($B70,[1]Sheet1!$A:$A,[1]Sheet1!$D:$D),0)</f>
        <v>57</v>
      </c>
      <c r="H69">
        <f>IFERROR(_xlfn.XLOOKUP($B70,[1]Sheet1!$A:$A,[1]Sheet1!$E:$E),0)</f>
        <v>74</v>
      </c>
      <c r="I69">
        <v>7572</v>
      </c>
      <c r="J69">
        <v>11829</v>
      </c>
      <c r="K69">
        <v>9096</v>
      </c>
      <c r="L69">
        <v>1413</v>
      </c>
    </row>
    <row r="70" spans="1:12">
      <c r="A70" t="s">
        <v>112</v>
      </c>
      <c r="B70" t="s">
        <v>113</v>
      </c>
      <c r="C70" t="s">
        <v>54</v>
      </c>
      <c r="D70" t="s">
        <v>55</v>
      </c>
      <c r="E70" s="5">
        <f>IFERROR(_xlfn.XLOOKUP($B71,[1]Sheet1!$A:$A,[1]Sheet1!$B:$B),0)</f>
        <v>51</v>
      </c>
      <c r="F70" s="5">
        <f>IFERROR(_xlfn.XLOOKUP($B71,[1]Sheet1!$A:$A,[1]Sheet1!$C:$C),0)</f>
        <v>11</v>
      </c>
      <c r="G70">
        <f>IFERROR(_xlfn.XLOOKUP($B71,[1]Sheet1!$A:$A,[1]Sheet1!$D:$D),0)</f>
        <v>36</v>
      </c>
      <c r="H70">
        <f>IFERROR(_xlfn.XLOOKUP($B71,[1]Sheet1!$A:$A,[1]Sheet1!$E:$E),0)</f>
        <v>35</v>
      </c>
      <c r="I70">
        <v>93105</v>
      </c>
      <c r="J70">
        <v>66437</v>
      </c>
      <c r="K70">
        <v>54967</v>
      </c>
      <c r="L70">
        <v>20842</v>
      </c>
    </row>
    <row r="71" spans="1:12">
      <c r="A71" t="s">
        <v>214</v>
      </c>
      <c r="B71" t="s">
        <v>215</v>
      </c>
      <c r="C71" t="s">
        <v>54</v>
      </c>
      <c r="D71" t="s">
        <v>55</v>
      </c>
      <c r="E71" s="5">
        <f>IFERROR(_xlfn.XLOOKUP($B72,[1]Sheet1!$A:$A,[1]Sheet1!$B:$B),0)</f>
        <v>1</v>
      </c>
      <c r="F71" s="5">
        <f>IFERROR(_xlfn.XLOOKUP($B72,[1]Sheet1!$A:$A,[1]Sheet1!$C:$C),0)</f>
        <v>171</v>
      </c>
      <c r="G71">
        <f>IFERROR(_xlfn.XLOOKUP($B72,[1]Sheet1!$A:$A,[1]Sheet1!$D:$D),0)</f>
        <v>2</v>
      </c>
      <c r="H71">
        <f>IFERROR(_xlfn.XLOOKUP($B72,[1]Sheet1!$A:$A,[1]Sheet1!$E:$E),0)</f>
        <v>18</v>
      </c>
      <c r="I71">
        <v>15135</v>
      </c>
      <c r="J71">
        <v>12523</v>
      </c>
      <c r="K71">
        <v>8099</v>
      </c>
      <c r="L71">
        <v>3365</v>
      </c>
    </row>
    <row r="72" spans="1:12">
      <c r="A72" t="s">
        <v>104</v>
      </c>
      <c r="B72" t="s">
        <v>105</v>
      </c>
      <c r="C72" t="s">
        <v>2</v>
      </c>
      <c r="D72" t="s">
        <v>3</v>
      </c>
      <c r="E72" s="5">
        <f>IFERROR(_xlfn.XLOOKUP($B73,[1]Sheet1!$A:$A,[1]Sheet1!$B:$B),0)</f>
        <v>49</v>
      </c>
      <c r="F72" s="5">
        <f>IFERROR(_xlfn.XLOOKUP($B73,[1]Sheet1!$A:$A,[1]Sheet1!$C:$C),0)</f>
        <v>28</v>
      </c>
      <c r="G72">
        <f>IFERROR(_xlfn.XLOOKUP($B73,[1]Sheet1!$A:$A,[1]Sheet1!$D:$D),0)</f>
        <v>49</v>
      </c>
      <c r="H72">
        <f>IFERROR(_xlfn.XLOOKUP($B73,[1]Sheet1!$A:$A,[1]Sheet1!$E:$E),0)</f>
        <v>36</v>
      </c>
      <c r="I72">
        <v>48799</v>
      </c>
      <c r="J72">
        <v>89775</v>
      </c>
      <c r="K72">
        <v>83017</v>
      </c>
      <c r="L72">
        <v>9623</v>
      </c>
    </row>
    <row r="73" spans="1:12">
      <c r="A73" t="s">
        <v>527</v>
      </c>
      <c r="B73" t="s">
        <v>528</v>
      </c>
      <c r="C73" t="s">
        <v>46</v>
      </c>
      <c r="D73" t="s">
        <v>47</v>
      </c>
      <c r="E73" s="5">
        <f>IFERROR(_xlfn.XLOOKUP($B74,[1]Sheet1!$A:$A,[1]Sheet1!$B:$B),0)</f>
        <v>0</v>
      </c>
      <c r="F73" s="5">
        <f>IFERROR(_xlfn.XLOOKUP($B74,[1]Sheet1!$A:$A,[1]Sheet1!$C:$C),0)</f>
        <v>0</v>
      </c>
      <c r="G73">
        <f>IFERROR(_xlfn.XLOOKUP($B74,[1]Sheet1!$A:$A,[1]Sheet1!$D:$D),0)</f>
        <v>0</v>
      </c>
      <c r="H73">
        <f>IFERROR(_xlfn.XLOOKUP($B74,[1]Sheet1!$A:$A,[1]Sheet1!$E:$E),0)</f>
        <v>0</v>
      </c>
      <c r="I73">
        <v>15498</v>
      </c>
      <c r="J73">
        <v>40312</v>
      </c>
      <c r="K73">
        <v>53515</v>
      </c>
      <c r="L73">
        <v>21079</v>
      </c>
    </row>
    <row r="74" spans="1:12">
      <c r="A74" t="s">
        <v>347</v>
      </c>
      <c r="B74" t="s">
        <v>348</v>
      </c>
      <c r="C74" t="s">
        <v>24</v>
      </c>
      <c r="D74" t="s">
        <v>25</v>
      </c>
      <c r="E74" s="5">
        <f>IFERROR(_xlfn.XLOOKUP($B75,[1]Sheet1!$A:$A,[1]Sheet1!$B:$B),0)</f>
        <v>50</v>
      </c>
      <c r="F74" s="5">
        <f>IFERROR(_xlfn.XLOOKUP($B75,[1]Sheet1!$A:$A,[1]Sheet1!$C:$C),0)</f>
        <v>17</v>
      </c>
      <c r="G74">
        <f>IFERROR(_xlfn.XLOOKUP($B75,[1]Sheet1!$A:$A,[1]Sheet1!$D:$D),0)</f>
        <v>23</v>
      </c>
      <c r="H74">
        <f>IFERROR(_xlfn.XLOOKUP($B75,[1]Sheet1!$A:$A,[1]Sheet1!$E:$E),0)</f>
        <v>17</v>
      </c>
      <c r="I74">
        <v>6724</v>
      </c>
      <c r="J74">
        <v>7563</v>
      </c>
      <c r="K74">
        <v>8936</v>
      </c>
      <c r="L74">
        <v>1298</v>
      </c>
    </row>
    <row r="75" spans="1:12">
      <c r="A75" t="s">
        <v>451</v>
      </c>
      <c r="B75" t="s">
        <v>452</v>
      </c>
      <c r="C75" t="s">
        <v>80</v>
      </c>
      <c r="D75" t="s">
        <v>81</v>
      </c>
      <c r="E75" s="5">
        <f>IFERROR(_xlfn.XLOOKUP($B76,[1]Sheet1!$A:$A,[1]Sheet1!$B:$B),0)</f>
        <v>223</v>
      </c>
      <c r="F75" s="5">
        <f>IFERROR(_xlfn.XLOOKUP($B76,[1]Sheet1!$A:$A,[1]Sheet1!$C:$C),0)</f>
        <v>135</v>
      </c>
      <c r="G75">
        <f>IFERROR(_xlfn.XLOOKUP($B76,[1]Sheet1!$A:$A,[1]Sheet1!$D:$D),0)</f>
        <v>104</v>
      </c>
      <c r="H75">
        <f>IFERROR(_xlfn.XLOOKUP($B76,[1]Sheet1!$A:$A,[1]Sheet1!$E:$E),0)</f>
        <v>157</v>
      </c>
      <c r="I75">
        <v>6480</v>
      </c>
      <c r="J75">
        <v>10322</v>
      </c>
      <c r="K75">
        <v>17014</v>
      </c>
      <c r="L75">
        <v>10807</v>
      </c>
    </row>
    <row r="76" spans="1:12">
      <c r="A76" t="s">
        <v>567</v>
      </c>
      <c r="B76" t="s">
        <v>568</v>
      </c>
      <c r="C76" t="s">
        <v>553</v>
      </c>
      <c r="D76" t="s">
        <v>554</v>
      </c>
      <c r="E76" s="5">
        <f>IFERROR(_xlfn.XLOOKUP($B77,[1]Sheet1!$A:$A,[1]Sheet1!$B:$B),0)</f>
        <v>111</v>
      </c>
      <c r="F76" s="5">
        <f>IFERROR(_xlfn.XLOOKUP($B77,[1]Sheet1!$A:$A,[1]Sheet1!$C:$C),0)</f>
        <v>8</v>
      </c>
      <c r="G76">
        <f>IFERROR(_xlfn.XLOOKUP($B77,[1]Sheet1!$A:$A,[1]Sheet1!$D:$D),0)</f>
        <v>141</v>
      </c>
      <c r="H76">
        <f>IFERROR(_xlfn.XLOOKUP($B77,[1]Sheet1!$A:$A,[1]Sheet1!$E:$E),0)</f>
        <v>207</v>
      </c>
      <c r="I76">
        <v>18714</v>
      </c>
      <c r="J76">
        <v>37841</v>
      </c>
      <c r="K76">
        <v>35580</v>
      </c>
      <c r="L76">
        <v>44285</v>
      </c>
    </row>
    <row r="77" spans="1:12">
      <c r="A77" t="s">
        <v>248</v>
      </c>
      <c r="B77" t="s">
        <v>249</v>
      </c>
      <c r="C77" t="s">
        <v>70</v>
      </c>
      <c r="D77" t="s">
        <v>71</v>
      </c>
      <c r="E77" s="5">
        <f>IFERROR(_xlfn.XLOOKUP($B78,[1]Sheet1!$A:$A,[1]Sheet1!$B:$B),0)</f>
        <v>26</v>
      </c>
      <c r="F77" s="5">
        <f>IFERROR(_xlfn.XLOOKUP($B78,[1]Sheet1!$A:$A,[1]Sheet1!$C:$C),0)</f>
        <v>31</v>
      </c>
      <c r="G77">
        <f>IFERROR(_xlfn.XLOOKUP($B78,[1]Sheet1!$A:$A,[1]Sheet1!$D:$D),0)</f>
        <v>53</v>
      </c>
      <c r="H77">
        <f>IFERROR(_xlfn.XLOOKUP($B78,[1]Sheet1!$A:$A,[1]Sheet1!$E:$E),0)</f>
        <v>98</v>
      </c>
      <c r="I77">
        <v>13526</v>
      </c>
      <c r="J77">
        <v>15876</v>
      </c>
      <c r="K77">
        <v>18918</v>
      </c>
      <c r="L77">
        <v>13086</v>
      </c>
    </row>
    <row r="78" spans="1:12">
      <c r="A78" t="s">
        <v>10</v>
      </c>
      <c r="B78" t="s">
        <v>11</v>
      </c>
      <c r="C78" t="s">
        <v>2</v>
      </c>
      <c r="D78" t="s">
        <v>3</v>
      </c>
      <c r="E78" s="5">
        <f>IFERROR(_xlfn.XLOOKUP($B79,[1]Sheet1!$A:$A,[1]Sheet1!$B:$B),0)</f>
        <v>5</v>
      </c>
      <c r="F78" s="5">
        <f>IFERROR(_xlfn.XLOOKUP($B79,[1]Sheet1!$A:$A,[1]Sheet1!$C:$C),0)</f>
        <v>12</v>
      </c>
      <c r="G78">
        <f>IFERROR(_xlfn.XLOOKUP($B79,[1]Sheet1!$A:$A,[1]Sheet1!$D:$D),0)</f>
        <v>11</v>
      </c>
      <c r="H78">
        <f>IFERROR(_xlfn.XLOOKUP($B79,[1]Sheet1!$A:$A,[1]Sheet1!$E:$E),0)</f>
        <v>24</v>
      </c>
      <c r="I78">
        <v>9331</v>
      </c>
      <c r="J78">
        <v>19148</v>
      </c>
      <c r="K78">
        <v>13937</v>
      </c>
      <c r="L78">
        <v>5271</v>
      </c>
    </row>
    <row r="79" spans="1:12">
      <c r="A79" t="s">
        <v>262</v>
      </c>
      <c r="B79" t="s">
        <v>263</v>
      </c>
      <c r="C79" t="s">
        <v>80</v>
      </c>
      <c r="D79" t="s">
        <v>81</v>
      </c>
      <c r="E79" s="5">
        <f>IFERROR(_xlfn.XLOOKUP($B80,[1]Sheet1!$A:$A,[1]Sheet1!$B:$B),0)</f>
        <v>27</v>
      </c>
      <c r="F79" s="5">
        <f>IFERROR(_xlfn.XLOOKUP($B80,[1]Sheet1!$A:$A,[1]Sheet1!$C:$C),0)</f>
        <v>96</v>
      </c>
      <c r="G79">
        <f>IFERROR(_xlfn.XLOOKUP($B80,[1]Sheet1!$A:$A,[1]Sheet1!$D:$D),0)</f>
        <v>39</v>
      </c>
      <c r="H79">
        <f>IFERROR(_xlfn.XLOOKUP($B80,[1]Sheet1!$A:$A,[1]Sheet1!$E:$E),0)</f>
        <v>74</v>
      </c>
      <c r="I79">
        <v>6025</v>
      </c>
      <c r="J79">
        <v>14398</v>
      </c>
      <c r="K79">
        <v>14103</v>
      </c>
      <c r="L79">
        <v>9762</v>
      </c>
    </row>
    <row r="80" spans="1:12">
      <c r="A80" t="s">
        <v>627</v>
      </c>
      <c r="B80" t="s">
        <v>628</v>
      </c>
      <c r="C80" t="s">
        <v>621</v>
      </c>
      <c r="D80" t="s">
        <v>622</v>
      </c>
      <c r="E80" s="5">
        <f>IFERROR(_xlfn.XLOOKUP($B81,[1]Sheet1!$A:$A,[1]Sheet1!$B:$B),0)</f>
        <v>71</v>
      </c>
      <c r="F80" s="5">
        <f>IFERROR(_xlfn.XLOOKUP($B81,[1]Sheet1!$A:$A,[1]Sheet1!$C:$C),0)</f>
        <v>20</v>
      </c>
      <c r="G80">
        <f>IFERROR(_xlfn.XLOOKUP($B81,[1]Sheet1!$A:$A,[1]Sheet1!$D:$D),0)</f>
        <v>81</v>
      </c>
      <c r="H80">
        <f>IFERROR(_xlfn.XLOOKUP($B81,[1]Sheet1!$A:$A,[1]Sheet1!$E:$E),0)</f>
        <v>101</v>
      </c>
      <c r="I80">
        <v>18520</v>
      </c>
      <c r="J80">
        <v>13551</v>
      </c>
      <c r="K80">
        <v>5433</v>
      </c>
      <c r="L80">
        <v>3111</v>
      </c>
    </row>
    <row r="81" spans="1:12">
      <c r="A81" t="s">
        <v>34</v>
      </c>
      <c r="B81" t="s">
        <v>35</v>
      </c>
      <c r="C81" t="s">
        <v>36</v>
      </c>
      <c r="D81" t="s">
        <v>37</v>
      </c>
      <c r="E81" s="5">
        <f>IFERROR(_xlfn.XLOOKUP($B82,[1]Sheet1!$A:$A,[1]Sheet1!$B:$B),0)</f>
        <v>28</v>
      </c>
      <c r="F81" s="5">
        <f>IFERROR(_xlfn.XLOOKUP($B82,[1]Sheet1!$A:$A,[1]Sheet1!$C:$C),0)</f>
        <v>22</v>
      </c>
      <c r="G81">
        <f>IFERROR(_xlfn.XLOOKUP($B82,[1]Sheet1!$A:$A,[1]Sheet1!$D:$D),0)</f>
        <v>40</v>
      </c>
      <c r="H81">
        <f>IFERROR(_xlfn.XLOOKUP($B82,[1]Sheet1!$A:$A,[1]Sheet1!$E:$E),0)</f>
        <v>41</v>
      </c>
      <c r="I81">
        <v>25428</v>
      </c>
      <c r="J81">
        <v>41273</v>
      </c>
      <c r="K81">
        <v>23082</v>
      </c>
      <c r="L81">
        <v>12936</v>
      </c>
    </row>
    <row r="82" spans="1:12">
      <c r="A82" t="s">
        <v>152</v>
      </c>
      <c r="B82" t="s">
        <v>153</v>
      </c>
      <c r="C82" t="s">
        <v>36</v>
      </c>
      <c r="D82" t="s">
        <v>37</v>
      </c>
      <c r="E82" s="5">
        <f>IFERROR(_xlfn.XLOOKUP($B83,[1]Sheet1!$A:$A,[1]Sheet1!$B:$B),0)</f>
        <v>23</v>
      </c>
      <c r="F82" s="5">
        <f>IFERROR(_xlfn.XLOOKUP($B83,[1]Sheet1!$A:$A,[1]Sheet1!$C:$C),0)</f>
        <v>5</v>
      </c>
      <c r="G82">
        <f>IFERROR(_xlfn.XLOOKUP($B83,[1]Sheet1!$A:$A,[1]Sheet1!$D:$D),0)</f>
        <v>27</v>
      </c>
      <c r="H82">
        <f>IFERROR(_xlfn.XLOOKUP($B83,[1]Sheet1!$A:$A,[1]Sheet1!$E:$E),0)</f>
        <v>40</v>
      </c>
      <c r="I82">
        <v>13376</v>
      </c>
      <c r="J82">
        <v>10185</v>
      </c>
      <c r="K82">
        <v>5689</v>
      </c>
      <c r="L82">
        <v>1988</v>
      </c>
    </row>
    <row r="83" spans="1:12">
      <c r="A83" t="s">
        <v>511</v>
      </c>
      <c r="B83" t="s">
        <v>512</v>
      </c>
      <c r="C83" t="s">
        <v>24</v>
      </c>
      <c r="D83" t="s">
        <v>25</v>
      </c>
      <c r="E83" s="5">
        <f>IFERROR(_xlfn.XLOOKUP($B84,[1]Sheet1!$A:$A,[1]Sheet1!$B:$B),0)</f>
        <v>15</v>
      </c>
      <c r="F83" s="5">
        <f>IFERROR(_xlfn.XLOOKUP($B84,[1]Sheet1!$A:$A,[1]Sheet1!$C:$C),0)</f>
        <v>36</v>
      </c>
      <c r="G83">
        <f>IFERROR(_xlfn.XLOOKUP($B84,[1]Sheet1!$A:$A,[1]Sheet1!$D:$D),0)</f>
        <v>24</v>
      </c>
      <c r="H83">
        <f>IFERROR(_xlfn.XLOOKUP($B84,[1]Sheet1!$A:$A,[1]Sheet1!$E:$E),0)</f>
        <v>52</v>
      </c>
      <c r="I83">
        <v>32223</v>
      </c>
      <c r="J83">
        <v>60700</v>
      </c>
      <c r="K83">
        <v>28207</v>
      </c>
      <c r="L83">
        <v>8534</v>
      </c>
    </row>
    <row r="84" spans="1:12">
      <c r="A84" s="1" t="s">
        <v>667</v>
      </c>
      <c r="B84" s="1" t="s">
        <v>668</v>
      </c>
      <c r="C84" t="s">
        <v>54</v>
      </c>
      <c r="D84" t="s">
        <v>55</v>
      </c>
      <c r="E84" s="5">
        <f>IFERROR(_xlfn.XLOOKUP($B85,[1]Sheet1!$A:$A,[1]Sheet1!$B:$B),0)</f>
        <v>43</v>
      </c>
      <c r="F84" s="5">
        <f>IFERROR(_xlfn.XLOOKUP($B85,[1]Sheet1!$A:$A,[1]Sheet1!$C:$C),0)</f>
        <v>1</v>
      </c>
      <c r="G84">
        <f>IFERROR(_xlfn.XLOOKUP($B85,[1]Sheet1!$A:$A,[1]Sheet1!$D:$D),0)</f>
        <v>21</v>
      </c>
      <c r="H84">
        <f>IFERROR(_xlfn.XLOOKUP($B85,[1]Sheet1!$A:$A,[1]Sheet1!$E:$E),0)</f>
        <v>14</v>
      </c>
      <c r="I84">
        <v>68763</v>
      </c>
      <c r="J84">
        <v>39588</v>
      </c>
      <c r="K84">
        <v>32748</v>
      </c>
      <c r="L84">
        <v>19578</v>
      </c>
    </row>
    <row r="85" spans="1:12">
      <c r="A85" t="s">
        <v>264</v>
      </c>
      <c r="B85" t="s">
        <v>265</v>
      </c>
      <c r="C85" t="s">
        <v>80</v>
      </c>
      <c r="D85" t="s">
        <v>81</v>
      </c>
      <c r="E85" s="5">
        <f>IFERROR(_xlfn.XLOOKUP($B86,[1]Sheet1!$A:$A,[1]Sheet1!$B:$B),0)</f>
        <v>29</v>
      </c>
      <c r="F85" s="5">
        <f>IFERROR(_xlfn.XLOOKUP($B86,[1]Sheet1!$A:$A,[1]Sheet1!$C:$C),0)</f>
        <v>3</v>
      </c>
      <c r="G85">
        <f>IFERROR(_xlfn.XLOOKUP($B86,[1]Sheet1!$A:$A,[1]Sheet1!$D:$D),0)</f>
        <v>17</v>
      </c>
      <c r="H85">
        <f>IFERROR(_xlfn.XLOOKUP($B86,[1]Sheet1!$A:$A,[1]Sheet1!$E:$E),0)</f>
        <v>18</v>
      </c>
      <c r="I85">
        <v>11828</v>
      </c>
      <c r="J85">
        <v>15695</v>
      </c>
      <c r="K85">
        <v>14112</v>
      </c>
      <c r="L85">
        <v>6180</v>
      </c>
    </row>
    <row r="86" spans="1:12">
      <c r="A86" t="s">
        <v>529</v>
      </c>
      <c r="B86" t="s">
        <v>530</v>
      </c>
      <c r="C86" t="s">
        <v>46</v>
      </c>
      <c r="D86" t="s">
        <v>47</v>
      </c>
      <c r="E86" s="5">
        <f>IFERROR(_xlfn.XLOOKUP($B87,[1]Sheet1!$A:$A,[1]Sheet1!$B:$B),0)</f>
        <v>64</v>
      </c>
      <c r="F86" s="5">
        <f>IFERROR(_xlfn.XLOOKUP($B87,[1]Sheet1!$A:$A,[1]Sheet1!$C:$C),0)</f>
        <v>12</v>
      </c>
      <c r="G86">
        <f>IFERROR(_xlfn.XLOOKUP($B87,[1]Sheet1!$A:$A,[1]Sheet1!$D:$D),0)</f>
        <v>121</v>
      </c>
      <c r="H86">
        <f>IFERROR(_xlfn.XLOOKUP($B87,[1]Sheet1!$A:$A,[1]Sheet1!$E:$E),0)</f>
        <v>80</v>
      </c>
      <c r="I86">
        <v>29595</v>
      </c>
      <c r="J86">
        <v>66305</v>
      </c>
      <c r="K86">
        <v>21158</v>
      </c>
      <c r="L86">
        <v>16425</v>
      </c>
    </row>
    <row r="87" spans="1:12">
      <c r="A87" t="s">
        <v>569</v>
      </c>
      <c r="B87" t="s">
        <v>570</v>
      </c>
      <c r="C87" t="s">
        <v>553</v>
      </c>
      <c r="D87" t="s">
        <v>554</v>
      </c>
      <c r="E87" s="5">
        <f>IFERROR(_xlfn.XLOOKUP($B88,[1]Sheet1!$A:$A,[1]Sheet1!$B:$B),0)</f>
        <v>172</v>
      </c>
      <c r="F87" s="5">
        <f>IFERROR(_xlfn.XLOOKUP($B88,[1]Sheet1!$A:$A,[1]Sheet1!$C:$C),0)</f>
        <v>102</v>
      </c>
      <c r="G87">
        <f>IFERROR(_xlfn.XLOOKUP($B88,[1]Sheet1!$A:$A,[1]Sheet1!$D:$D),0)</f>
        <v>82</v>
      </c>
      <c r="H87">
        <f>IFERROR(_xlfn.XLOOKUP($B88,[1]Sheet1!$A:$A,[1]Sheet1!$E:$E),0)</f>
        <v>115</v>
      </c>
      <c r="I87">
        <v>6798</v>
      </c>
      <c r="J87">
        <v>29225</v>
      </c>
      <c r="K87">
        <v>31261</v>
      </c>
      <c r="L87">
        <v>46120</v>
      </c>
    </row>
    <row r="88" spans="1:12">
      <c r="A88" t="s">
        <v>126</v>
      </c>
      <c r="B88" t="s">
        <v>127</v>
      </c>
      <c r="C88" t="s">
        <v>70</v>
      </c>
      <c r="D88" t="s">
        <v>71</v>
      </c>
      <c r="E88" s="5">
        <f>IFERROR(_xlfn.XLOOKUP($B89,[1]Sheet1!$A:$A,[1]Sheet1!$B:$B),0)</f>
        <v>33</v>
      </c>
      <c r="F88" s="5">
        <f>IFERROR(_xlfn.XLOOKUP($B89,[1]Sheet1!$A:$A,[1]Sheet1!$C:$C),0)</f>
        <v>17</v>
      </c>
      <c r="G88">
        <f>IFERROR(_xlfn.XLOOKUP($B89,[1]Sheet1!$A:$A,[1]Sheet1!$D:$D),0)</f>
        <v>21</v>
      </c>
      <c r="H88">
        <f>IFERROR(_xlfn.XLOOKUP($B89,[1]Sheet1!$A:$A,[1]Sheet1!$E:$E),0)</f>
        <v>38</v>
      </c>
      <c r="I88">
        <v>15623</v>
      </c>
      <c r="J88">
        <v>11946</v>
      </c>
      <c r="K88">
        <v>6302</v>
      </c>
      <c r="L88">
        <v>2232</v>
      </c>
    </row>
    <row r="89" spans="1:12">
      <c r="A89" t="s">
        <v>162</v>
      </c>
      <c r="B89" t="s">
        <v>163</v>
      </c>
      <c r="C89" t="s">
        <v>54</v>
      </c>
      <c r="D89" t="s">
        <v>55</v>
      </c>
      <c r="E89" s="5">
        <f>IFERROR(_xlfn.XLOOKUP($B90,[1]Sheet1!$A:$A,[1]Sheet1!$B:$B),0)</f>
        <v>42</v>
      </c>
      <c r="F89" s="5">
        <f>IFERROR(_xlfn.XLOOKUP($B90,[1]Sheet1!$A:$A,[1]Sheet1!$C:$C),0)</f>
        <v>18</v>
      </c>
      <c r="G89">
        <f>IFERROR(_xlfn.XLOOKUP($B90,[1]Sheet1!$A:$A,[1]Sheet1!$D:$D),0)</f>
        <v>68</v>
      </c>
      <c r="H89">
        <f>IFERROR(_xlfn.XLOOKUP($B90,[1]Sheet1!$A:$A,[1]Sheet1!$E:$E),0)</f>
        <v>43</v>
      </c>
      <c r="I89">
        <v>25712</v>
      </c>
      <c r="J89">
        <v>18114</v>
      </c>
      <c r="K89">
        <v>12997</v>
      </c>
      <c r="L89">
        <v>6069</v>
      </c>
    </row>
    <row r="90" spans="1:12">
      <c r="A90" t="s">
        <v>226</v>
      </c>
      <c r="B90" t="s">
        <v>227</v>
      </c>
      <c r="C90" t="s">
        <v>80</v>
      </c>
      <c r="D90" t="s">
        <v>81</v>
      </c>
      <c r="E90" s="5">
        <f>IFERROR(_xlfn.XLOOKUP($B91,[1]Sheet1!$A:$A,[1]Sheet1!$B:$B),0)</f>
        <v>9</v>
      </c>
      <c r="F90" s="5">
        <f>IFERROR(_xlfn.XLOOKUP($B91,[1]Sheet1!$A:$A,[1]Sheet1!$C:$C),0)</f>
        <v>161</v>
      </c>
      <c r="G90">
        <f>IFERROR(_xlfn.XLOOKUP($B91,[1]Sheet1!$A:$A,[1]Sheet1!$D:$D),0)</f>
        <v>27</v>
      </c>
      <c r="H90">
        <f>IFERROR(_xlfn.XLOOKUP($B91,[1]Sheet1!$A:$A,[1]Sheet1!$E:$E),0)</f>
        <v>42</v>
      </c>
      <c r="I90">
        <v>22023</v>
      </c>
      <c r="J90">
        <v>13606</v>
      </c>
      <c r="K90">
        <v>9185</v>
      </c>
      <c r="L90">
        <v>6205</v>
      </c>
    </row>
    <row r="91" spans="1:12">
      <c r="A91" t="s">
        <v>475</v>
      </c>
      <c r="B91" t="s">
        <v>476</v>
      </c>
      <c r="C91" t="s">
        <v>70</v>
      </c>
      <c r="D91" t="s">
        <v>71</v>
      </c>
      <c r="E91" s="5">
        <f>IFERROR(_xlfn.XLOOKUP($B92,[1]Sheet1!$A:$A,[1]Sheet1!$B:$B),0)</f>
        <v>30</v>
      </c>
      <c r="F91" s="5">
        <f>IFERROR(_xlfn.XLOOKUP($B92,[1]Sheet1!$A:$A,[1]Sheet1!$C:$C),0)</f>
        <v>3</v>
      </c>
      <c r="G91">
        <f>IFERROR(_xlfn.XLOOKUP($B92,[1]Sheet1!$A:$A,[1]Sheet1!$D:$D),0)</f>
        <v>21</v>
      </c>
      <c r="H91">
        <f>IFERROR(_xlfn.XLOOKUP($B92,[1]Sheet1!$A:$A,[1]Sheet1!$E:$E),0)</f>
        <v>17</v>
      </c>
      <c r="I91">
        <v>17112</v>
      </c>
      <c r="J91">
        <v>18799</v>
      </c>
      <c r="K91">
        <v>13467</v>
      </c>
      <c r="L91">
        <v>10622</v>
      </c>
    </row>
    <row r="92" spans="1:12">
      <c r="A92" t="s">
        <v>321</v>
      </c>
      <c r="B92" t="s">
        <v>322</v>
      </c>
      <c r="C92" t="s">
        <v>36</v>
      </c>
      <c r="D92" t="s">
        <v>37</v>
      </c>
      <c r="E92" s="5">
        <f>IFERROR(_xlfn.XLOOKUP($B93,[1]Sheet1!$A:$A,[1]Sheet1!$B:$B),0)</f>
        <v>62</v>
      </c>
      <c r="F92" s="5">
        <f>IFERROR(_xlfn.XLOOKUP($B93,[1]Sheet1!$A:$A,[1]Sheet1!$C:$C),0)</f>
        <v>15</v>
      </c>
      <c r="G92">
        <f>IFERROR(_xlfn.XLOOKUP($B93,[1]Sheet1!$A:$A,[1]Sheet1!$D:$D),0)</f>
        <v>46</v>
      </c>
      <c r="H92">
        <f>IFERROR(_xlfn.XLOOKUP($B93,[1]Sheet1!$A:$A,[1]Sheet1!$E:$E),0)</f>
        <v>35</v>
      </c>
      <c r="I92">
        <v>32593</v>
      </c>
      <c r="J92">
        <v>17833</v>
      </c>
      <c r="K92">
        <v>7114</v>
      </c>
      <c r="L92">
        <v>3673</v>
      </c>
    </row>
    <row r="93" spans="1:12">
      <c r="A93" t="s">
        <v>26</v>
      </c>
      <c r="B93" t="s">
        <v>27</v>
      </c>
      <c r="C93" t="s">
        <v>24</v>
      </c>
      <c r="D93" t="s">
        <v>25</v>
      </c>
      <c r="E93" s="5">
        <f>IFERROR(_xlfn.XLOOKUP($B94,[1]Sheet1!$A:$A,[1]Sheet1!$B:$B),0)</f>
        <v>47</v>
      </c>
      <c r="F93" s="5">
        <f>IFERROR(_xlfn.XLOOKUP($B94,[1]Sheet1!$A:$A,[1]Sheet1!$C:$C),0)</f>
        <v>23</v>
      </c>
      <c r="G93">
        <f>IFERROR(_xlfn.XLOOKUP($B94,[1]Sheet1!$A:$A,[1]Sheet1!$D:$D),0)</f>
        <v>25</v>
      </c>
      <c r="H93">
        <f>IFERROR(_xlfn.XLOOKUP($B94,[1]Sheet1!$A:$A,[1]Sheet1!$E:$E),0)</f>
        <v>19</v>
      </c>
      <c r="I93">
        <v>53673</v>
      </c>
      <c r="J93">
        <v>55372</v>
      </c>
      <c r="K93">
        <v>28943</v>
      </c>
      <c r="L93">
        <v>9684</v>
      </c>
    </row>
    <row r="94" spans="1:12">
      <c r="A94" t="s">
        <v>393</v>
      </c>
      <c r="B94" t="s">
        <v>394</v>
      </c>
      <c r="C94" t="s">
        <v>46</v>
      </c>
      <c r="D94" t="s">
        <v>47</v>
      </c>
      <c r="E94" s="5">
        <f>IFERROR(_xlfn.XLOOKUP($B95,[1]Sheet1!$A:$A,[1]Sheet1!$B:$B),0)</f>
        <v>24</v>
      </c>
      <c r="F94" s="5">
        <f>IFERROR(_xlfn.XLOOKUP($B95,[1]Sheet1!$A:$A,[1]Sheet1!$C:$C),0)</f>
        <v>32</v>
      </c>
      <c r="G94">
        <f>IFERROR(_xlfn.XLOOKUP($B95,[1]Sheet1!$A:$A,[1]Sheet1!$D:$D),0)</f>
        <v>33</v>
      </c>
      <c r="H94">
        <f>IFERROR(_xlfn.XLOOKUP($B95,[1]Sheet1!$A:$A,[1]Sheet1!$E:$E),0)</f>
        <v>50</v>
      </c>
      <c r="I94">
        <v>16885</v>
      </c>
      <c r="J94">
        <v>16661</v>
      </c>
      <c r="K94">
        <v>11542</v>
      </c>
      <c r="L94">
        <v>4917</v>
      </c>
    </row>
    <row r="95" spans="1:12">
      <c r="A95" s="1" t="s">
        <v>673</v>
      </c>
      <c r="B95" s="1" t="s">
        <v>674</v>
      </c>
      <c r="C95" t="s">
        <v>70</v>
      </c>
      <c r="D95" t="s">
        <v>71</v>
      </c>
      <c r="E95" s="5">
        <f>IFERROR(_xlfn.XLOOKUP($B96,[1]Sheet1!$A:$A,[1]Sheet1!$B:$B),0)</f>
        <v>67</v>
      </c>
      <c r="F95" s="5">
        <f>IFERROR(_xlfn.XLOOKUP($B96,[1]Sheet1!$A:$A,[1]Sheet1!$C:$C),0)</f>
        <v>3</v>
      </c>
      <c r="G95">
        <f>IFERROR(_xlfn.XLOOKUP($B96,[1]Sheet1!$A:$A,[1]Sheet1!$D:$D),0)</f>
        <v>38</v>
      </c>
      <c r="H95">
        <f>IFERROR(_xlfn.XLOOKUP($B96,[1]Sheet1!$A:$A,[1]Sheet1!$E:$E),0)</f>
        <v>22</v>
      </c>
      <c r="I95">
        <v>43732</v>
      </c>
      <c r="J95">
        <v>32076</v>
      </c>
      <c r="K95">
        <v>23105</v>
      </c>
      <c r="L95">
        <v>7704</v>
      </c>
    </row>
    <row r="96" spans="1:12">
      <c r="A96" t="s">
        <v>178</v>
      </c>
      <c r="B96" t="s">
        <v>179</v>
      </c>
      <c r="C96" t="s">
        <v>80</v>
      </c>
      <c r="D96" t="s">
        <v>81</v>
      </c>
      <c r="E96" s="5">
        <f>IFERROR(_xlfn.XLOOKUP($B97,[1]Sheet1!$A:$A,[1]Sheet1!$B:$B),0)</f>
        <v>114</v>
      </c>
      <c r="F96" s="5">
        <f>IFERROR(_xlfn.XLOOKUP($B97,[1]Sheet1!$A:$A,[1]Sheet1!$C:$C),0)</f>
        <v>16</v>
      </c>
      <c r="G96">
        <f>IFERROR(_xlfn.XLOOKUP($B97,[1]Sheet1!$A:$A,[1]Sheet1!$D:$D),0)</f>
        <v>116</v>
      </c>
      <c r="H96">
        <f>IFERROR(_xlfn.XLOOKUP($B97,[1]Sheet1!$A:$A,[1]Sheet1!$E:$E),0)</f>
        <v>66</v>
      </c>
      <c r="I96">
        <v>7630</v>
      </c>
      <c r="J96">
        <v>9908</v>
      </c>
      <c r="K96">
        <v>10879</v>
      </c>
      <c r="L96">
        <v>12395</v>
      </c>
    </row>
    <row r="97" spans="1:12">
      <c r="A97" t="s">
        <v>228</v>
      </c>
      <c r="B97" t="s">
        <v>229</v>
      </c>
      <c r="C97" t="s">
        <v>80</v>
      </c>
      <c r="D97" t="s">
        <v>81</v>
      </c>
      <c r="E97" s="5">
        <f>IFERROR(_xlfn.XLOOKUP($B98,[1]Sheet1!$A:$A,[1]Sheet1!$B:$B),0)</f>
        <v>0</v>
      </c>
      <c r="F97" s="5">
        <f>IFERROR(_xlfn.XLOOKUP($B98,[1]Sheet1!$A:$A,[1]Sheet1!$C:$C),0)</f>
        <v>0</v>
      </c>
      <c r="G97">
        <f>IFERROR(_xlfn.XLOOKUP($B98,[1]Sheet1!$A:$A,[1]Sheet1!$D:$D),0)</f>
        <v>0</v>
      </c>
      <c r="H97">
        <f>IFERROR(_xlfn.XLOOKUP($B98,[1]Sheet1!$A:$A,[1]Sheet1!$E:$E),0)</f>
        <v>0</v>
      </c>
      <c r="I97">
        <v>18973</v>
      </c>
      <c r="J97">
        <v>16190</v>
      </c>
      <c r="K97">
        <v>12123</v>
      </c>
      <c r="L97">
        <v>8044</v>
      </c>
    </row>
    <row r="98" spans="1:12">
      <c r="A98" t="s">
        <v>142</v>
      </c>
      <c r="B98" t="s">
        <v>143</v>
      </c>
      <c r="C98" t="s">
        <v>14</v>
      </c>
      <c r="D98" t="s">
        <v>15</v>
      </c>
      <c r="E98" s="5">
        <f>IFERROR(_xlfn.XLOOKUP($B99,[1]Sheet1!$A:$A,[1]Sheet1!$B:$B),0)</f>
        <v>48</v>
      </c>
      <c r="F98" s="5">
        <f>IFERROR(_xlfn.XLOOKUP($B99,[1]Sheet1!$A:$A,[1]Sheet1!$C:$C),0)</f>
        <v>9</v>
      </c>
      <c r="G98">
        <f>IFERROR(_xlfn.XLOOKUP($B99,[1]Sheet1!$A:$A,[1]Sheet1!$D:$D),0)</f>
        <v>43</v>
      </c>
      <c r="H98">
        <f>IFERROR(_xlfn.XLOOKUP($B99,[1]Sheet1!$A:$A,[1]Sheet1!$E:$E),0)</f>
        <v>35</v>
      </c>
      <c r="I98">
        <v>9642</v>
      </c>
      <c r="J98">
        <v>7623</v>
      </c>
      <c r="K98">
        <v>4845</v>
      </c>
      <c r="L98">
        <v>1589</v>
      </c>
    </row>
    <row r="99" spans="1:12">
      <c r="A99" t="s">
        <v>413</v>
      </c>
      <c r="B99" t="s">
        <v>414</v>
      </c>
      <c r="C99" t="s">
        <v>80</v>
      </c>
      <c r="D99" t="s">
        <v>81</v>
      </c>
      <c r="E99" s="5">
        <f>IFERROR(_xlfn.XLOOKUP($B100,[1]Sheet1!$A:$A,[1]Sheet1!$B:$B),0)</f>
        <v>112</v>
      </c>
      <c r="F99" s="5">
        <f>IFERROR(_xlfn.XLOOKUP($B100,[1]Sheet1!$A:$A,[1]Sheet1!$C:$C),0)</f>
        <v>19</v>
      </c>
      <c r="G99">
        <f>IFERROR(_xlfn.XLOOKUP($B100,[1]Sheet1!$A:$A,[1]Sheet1!$D:$D),0)</f>
        <v>60</v>
      </c>
      <c r="H99">
        <f>IFERROR(_xlfn.XLOOKUP($B100,[1]Sheet1!$A:$A,[1]Sheet1!$E:$E),0)</f>
        <v>62</v>
      </c>
      <c r="I99">
        <v>18146</v>
      </c>
      <c r="J99">
        <v>14384</v>
      </c>
      <c r="K99">
        <v>9232</v>
      </c>
      <c r="L99">
        <v>11500</v>
      </c>
    </row>
    <row r="100" spans="1:12">
      <c r="A100" t="s">
        <v>571</v>
      </c>
      <c r="B100" t="s">
        <v>572</v>
      </c>
      <c r="C100" t="s">
        <v>553</v>
      </c>
      <c r="D100" t="s">
        <v>554</v>
      </c>
      <c r="E100" s="5">
        <f>IFERROR(_xlfn.XLOOKUP($B101,[1]Sheet1!$A:$A,[1]Sheet1!$B:$B),0)</f>
        <v>16</v>
      </c>
      <c r="F100" s="5">
        <f>IFERROR(_xlfn.XLOOKUP($B101,[1]Sheet1!$A:$A,[1]Sheet1!$C:$C),0)</f>
        <v>41</v>
      </c>
      <c r="G100">
        <f>IFERROR(_xlfn.XLOOKUP($B101,[1]Sheet1!$A:$A,[1]Sheet1!$D:$D),0)</f>
        <v>23</v>
      </c>
      <c r="H100">
        <f>IFERROR(_xlfn.XLOOKUP($B101,[1]Sheet1!$A:$A,[1]Sheet1!$E:$E),0)</f>
        <v>18</v>
      </c>
      <c r="I100">
        <v>9059</v>
      </c>
      <c r="J100">
        <v>29986</v>
      </c>
      <c r="K100">
        <v>34911</v>
      </c>
      <c r="L100">
        <v>36776</v>
      </c>
    </row>
    <row r="101" spans="1:12">
      <c r="A101" t="s">
        <v>200</v>
      </c>
      <c r="B101" t="s">
        <v>201</v>
      </c>
      <c r="C101" t="s">
        <v>70</v>
      </c>
      <c r="D101" t="s">
        <v>71</v>
      </c>
      <c r="E101" s="5">
        <f>IFERROR(_xlfn.XLOOKUP($B102,[1]Sheet1!$A:$A,[1]Sheet1!$B:$B),0)</f>
        <v>33</v>
      </c>
      <c r="F101" s="5">
        <f>IFERROR(_xlfn.XLOOKUP($B102,[1]Sheet1!$A:$A,[1]Sheet1!$C:$C),0)</f>
        <v>29</v>
      </c>
      <c r="G101">
        <f>IFERROR(_xlfn.XLOOKUP($B102,[1]Sheet1!$A:$A,[1]Sheet1!$D:$D),0)</f>
        <v>24</v>
      </c>
      <c r="H101">
        <f>IFERROR(_xlfn.XLOOKUP($B102,[1]Sheet1!$A:$A,[1]Sheet1!$E:$E),0)</f>
        <v>28</v>
      </c>
      <c r="I101">
        <v>12611</v>
      </c>
      <c r="J101">
        <v>17711</v>
      </c>
      <c r="K101">
        <v>11716</v>
      </c>
      <c r="L101">
        <v>10448</v>
      </c>
    </row>
    <row r="102" spans="1:12">
      <c r="A102" t="s">
        <v>415</v>
      </c>
      <c r="B102" t="s">
        <v>416</v>
      </c>
      <c r="C102" t="s">
        <v>80</v>
      </c>
      <c r="D102" t="s">
        <v>81</v>
      </c>
      <c r="E102" s="5">
        <f>IFERROR(_xlfn.XLOOKUP($B103,[1]Sheet1!$A:$A,[1]Sheet1!$B:$B),0)</f>
        <v>27</v>
      </c>
      <c r="F102" s="5">
        <f>IFERROR(_xlfn.XLOOKUP($B103,[1]Sheet1!$A:$A,[1]Sheet1!$C:$C),0)</f>
        <v>43</v>
      </c>
      <c r="G102">
        <f>IFERROR(_xlfn.XLOOKUP($B103,[1]Sheet1!$A:$A,[1]Sheet1!$D:$D),0)</f>
        <v>24</v>
      </c>
      <c r="H102">
        <f>IFERROR(_xlfn.XLOOKUP($B103,[1]Sheet1!$A:$A,[1]Sheet1!$E:$E),0)</f>
        <v>13</v>
      </c>
      <c r="I102">
        <v>8273</v>
      </c>
      <c r="J102">
        <v>10935</v>
      </c>
      <c r="K102">
        <v>4144</v>
      </c>
      <c r="L102">
        <v>6546</v>
      </c>
    </row>
    <row r="103" spans="1:12">
      <c r="A103" t="s">
        <v>154</v>
      </c>
      <c r="B103" t="s">
        <v>155</v>
      </c>
      <c r="C103" t="s">
        <v>36</v>
      </c>
      <c r="D103" t="s">
        <v>37</v>
      </c>
      <c r="E103" s="5">
        <f>IFERROR(_xlfn.XLOOKUP($B104,[1]Sheet1!$A:$A,[1]Sheet1!$B:$B),0)</f>
        <v>4</v>
      </c>
      <c r="F103" s="5">
        <f>IFERROR(_xlfn.XLOOKUP($B104,[1]Sheet1!$A:$A,[1]Sheet1!$C:$C),0)</f>
        <v>55</v>
      </c>
      <c r="G103">
        <f>IFERROR(_xlfn.XLOOKUP($B104,[1]Sheet1!$A:$A,[1]Sheet1!$D:$D),0)</f>
        <v>30</v>
      </c>
      <c r="H103">
        <f>IFERROR(_xlfn.XLOOKUP($B104,[1]Sheet1!$A:$A,[1]Sheet1!$E:$E),0)</f>
        <v>70</v>
      </c>
      <c r="I103">
        <v>14528</v>
      </c>
      <c r="J103">
        <v>22457</v>
      </c>
      <c r="K103">
        <v>9087</v>
      </c>
      <c r="L103">
        <v>2970</v>
      </c>
    </row>
    <row r="104" spans="1:12">
      <c r="A104" t="s">
        <v>164</v>
      </c>
      <c r="B104" t="s">
        <v>165</v>
      </c>
      <c r="C104" t="s">
        <v>54</v>
      </c>
      <c r="D104" t="s">
        <v>55</v>
      </c>
      <c r="E104" s="5">
        <f>IFERROR(_xlfn.XLOOKUP($B105,[1]Sheet1!$A:$A,[1]Sheet1!$B:$B),0)</f>
        <v>26</v>
      </c>
      <c r="F104" s="5">
        <f>IFERROR(_xlfn.XLOOKUP($B105,[1]Sheet1!$A:$A,[1]Sheet1!$C:$C),0)</f>
        <v>30</v>
      </c>
      <c r="G104">
        <f>IFERROR(_xlfn.XLOOKUP($B105,[1]Sheet1!$A:$A,[1]Sheet1!$D:$D),0)</f>
        <v>33</v>
      </c>
      <c r="H104">
        <f>IFERROR(_xlfn.XLOOKUP($B105,[1]Sheet1!$A:$A,[1]Sheet1!$E:$E),0)</f>
        <v>34</v>
      </c>
      <c r="I104">
        <v>7943</v>
      </c>
      <c r="J104">
        <v>14140</v>
      </c>
      <c r="K104">
        <v>16458</v>
      </c>
      <c r="L104">
        <v>10306</v>
      </c>
    </row>
    <row r="105" spans="1:12">
      <c r="A105" t="s">
        <v>230</v>
      </c>
      <c r="B105" t="s">
        <v>231</v>
      </c>
      <c r="C105" t="s">
        <v>80</v>
      </c>
      <c r="D105" t="s">
        <v>81</v>
      </c>
      <c r="E105" s="5">
        <f>IFERROR(_xlfn.XLOOKUP($B106,[1]Sheet1!$A:$A,[1]Sheet1!$B:$B),0)</f>
        <v>5</v>
      </c>
      <c r="F105" s="5">
        <f>IFERROR(_xlfn.XLOOKUP($B106,[1]Sheet1!$A:$A,[1]Sheet1!$C:$C),0)</f>
        <v>12</v>
      </c>
      <c r="G105">
        <f>IFERROR(_xlfn.XLOOKUP($B106,[1]Sheet1!$A:$A,[1]Sheet1!$D:$D),0)</f>
        <v>6</v>
      </c>
      <c r="H105">
        <f>IFERROR(_xlfn.XLOOKUP($B106,[1]Sheet1!$A:$A,[1]Sheet1!$E:$E),0)</f>
        <v>8</v>
      </c>
      <c r="I105">
        <v>17497</v>
      </c>
      <c r="J105">
        <v>15670</v>
      </c>
      <c r="K105">
        <v>8909</v>
      </c>
      <c r="L105">
        <v>5547</v>
      </c>
    </row>
    <row r="106" spans="1:12">
      <c r="A106" t="s">
        <v>128</v>
      </c>
      <c r="B106" t="s">
        <v>129</v>
      </c>
      <c r="C106" t="s">
        <v>70</v>
      </c>
      <c r="D106" t="s">
        <v>71</v>
      </c>
      <c r="E106" s="5">
        <f>IFERROR(_xlfn.XLOOKUP($B107,[1]Sheet1!$A:$A,[1]Sheet1!$B:$B),0)</f>
        <v>29</v>
      </c>
      <c r="F106" s="5">
        <f>IFERROR(_xlfn.XLOOKUP($B107,[1]Sheet1!$A:$A,[1]Sheet1!$C:$C),0)</f>
        <v>5</v>
      </c>
      <c r="G106">
        <f>IFERROR(_xlfn.XLOOKUP($B107,[1]Sheet1!$A:$A,[1]Sheet1!$D:$D),0)</f>
        <v>35</v>
      </c>
      <c r="H106">
        <f>IFERROR(_xlfn.XLOOKUP($B107,[1]Sheet1!$A:$A,[1]Sheet1!$E:$E),0)</f>
        <v>30</v>
      </c>
      <c r="I106">
        <v>20154</v>
      </c>
      <c r="J106">
        <v>13187</v>
      </c>
      <c r="K106">
        <v>6316</v>
      </c>
      <c r="L106">
        <v>3126</v>
      </c>
    </row>
    <row r="107" spans="1:12">
      <c r="A107" t="s">
        <v>629</v>
      </c>
      <c r="B107" t="s">
        <v>630</v>
      </c>
      <c r="C107" t="s">
        <v>621</v>
      </c>
      <c r="D107" t="s">
        <v>622</v>
      </c>
      <c r="E107" s="5">
        <f>IFERROR(_xlfn.XLOOKUP($B108,[1]Sheet1!$A:$A,[1]Sheet1!$B:$B),0)</f>
        <v>15</v>
      </c>
      <c r="F107" s="5">
        <f>IFERROR(_xlfn.XLOOKUP($B108,[1]Sheet1!$A:$A,[1]Sheet1!$C:$C),0)</f>
        <v>19</v>
      </c>
      <c r="G107">
        <f>IFERROR(_xlfn.XLOOKUP($B108,[1]Sheet1!$A:$A,[1]Sheet1!$D:$D),0)</f>
        <v>25</v>
      </c>
      <c r="H107">
        <f>IFERROR(_xlfn.XLOOKUP($B108,[1]Sheet1!$A:$A,[1]Sheet1!$E:$E),0)</f>
        <v>33</v>
      </c>
      <c r="I107">
        <v>25985</v>
      </c>
      <c r="J107">
        <v>27073</v>
      </c>
      <c r="K107">
        <v>9019</v>
      </c>
      <c r="L107">
        <v>3488</v>
      </c>
    </row>
    <row r="108" spans="1:12">
      <c r="A108" t="s">
        <v>272</v>
      </c>
      <c r="B108" t="s">
        <v>675</v>
      </c>
      <c r="C108" t="s">
        <v>80</v>
      </c>
      <c r="D108" t="s">
        <v>81</v>
      </c>
      <c r="E108" s="5">
        <f>IFERROR(_xlfn.XLOOKUP($B109,[1]Sheet1!$A:$A,[1]Sheet1!$B:$B),0)</f>
        <v>26</v>
      </c>
      <c r="F108" s="5">
        <f>IFERROR(_xlfn.XLOOKUP($B109,[1]Sheet1!$A:$A,[1]Sheet1!$C:$C),0)</f>
        <v>11</v>
      </c>
      <c r="G108">
        <f>IFERROR(_xlfn.XLOOKUP($B109,[1]Sheet1!$A:$A,[1]Sheet1!$D:$D),0)</f>
        <v>24</v>
      </c>
      <c r="H108">
        <f>IFERROR(_xlfn.XLOOKUP($B109,[1]Sheet1!$A:$A,[1]Sheet1!$E:$E),0)</f>
        <v>21</v>
      </c>
      <c r="I108">
        <v>13262</v>
      </c>
      <c r="J108">
        <v>12566</v>
      </c>
      <c r="K108">
        <v>10438</v>
      </c>
      <c r="L108">
        <v>7268</v>
      </c>
    </row>
    <row r="109" spans="1:12">
      <c r="A109" t="s">
        <v>216</v>
      </c>
      <c r="B109" t="s">
        <v>217</v>
      </c>
      <c r="C109" t="s">
        <v>54</v>
      </c>
      <c r="D109" t="s">
        <v>55</v>
      </c>
      <c r="E109" s="5">
        <f>IFERROR(_xlfn.XLOOKUP($B110,[1]Sheet1!$A:$A,[1]Sheet1!$B:$B),0)</f>
        <v>32</v>
      </c>
      <c r="F109" s="5">
        <f>IFERROR(_xlfn.XLOOKUP($B110,[1]Sheet1!$A:$A,[1]Sheet1!$C:$C),0)</f>
        <v>10</v>
      </c>
      <c r="G109">
        <f>IFERROR(_xlfn.XLOOKUP($B110,[1]Sheet1!$A:$A,[1]Sheet1!$D:$D),0)</f>
        <v>26</v>
      </c>
      <c r="H109">
        <f>IFERROR(_xlfn.XLOOKUP($B110,[1]Sheet1!$A:$A,[1]Sheet1!$E:$E),0)</f>
        <v>17</v>
      </c>
      <c r="I109">
        <v>16649</v>
      </c>
      <c r="J109">
        <v>12702</v>
      </c>
      <c r="K109">
        <v>4983</v>
      </c>
      <c r="L109">
        <v>1654</v>
      </c>
    </row>
    <row r="110" spans="1:12">
      <c r="A110" t="s">
        <v>285</v>
      </c>
      <c r="B110" t="s">
        <v>286</v>
      </c>
      <c r="C110" t="s">
        <v>14</v>
      </c>
      <c r="D110" t="s">
        <v>15</v>
      </c>
      <c r="E110" s="5">
        <f>IFERROR(_xlfn.XLOOKUP($B111,[1]Sheet1!$A:$A,[1]Sheet1!$B:$B),0)</f>
        <v>40</v>
      </c>
      <c r="F110" s="5">
        <f>IFERROR(_xlfn.XLOOKUP($B111,[1]Sheet1!$A:$A,[1]Sheet1!$C:$C),0)</f>
        <v>4</v>
      </c>
      <c r="G110">
        <f>IFERROR(_xlfn.XLOOKUP($B111,[1]Sheet1!$A:$A,[1]Sheet1!$D:$D),0)</f>
        <v>52</v>
      </c>
      <c r="H110">
        <f>IFERROR(_xlfn.XLOOKUP($B111,[1]Sheet1!$A:$A,[1]Sheet1!$E:$E),0)</f>
        <v>19</v>
      </c>
      <c r="I110">
        <v>11067</v>
      </c>
      <c r="J110">
        <v>12061</v>
      </c>
      <c r="K110">
        <v>6262</v>
      </c>
      <c r="L110">
        <v>5231</v>
      </c>
    </row>
    <row r="111" spans="1:12">
      <c r="A111" t="s">
        <v>549</v>
      </c>
      <c r="B111" t="s">
        <v>550</v>
      </c>
      <c r="C111" t="s">
        <v>2</v>
      </c>
      <c r="D111" t="s">
        <v>3</v>
      </c>
      <c r="E111" s="5">
        <f>IFERROR(_xlfn.XLOOKUP($B112,[1]Sheet1!$A:$A,[1]Sheet1!$B:$B),0)</f>
        <v>31</v>
      </c>
      <c r="F111" s="5">
        <f>IFERROR(_xlfn.XLOOKUP($B112,[1]Sheet1!$A:$A,[1]Sheet1!$C:$C),0)</f>
        <v>28</v>
      </c>
      <c r="G111">
        <f>IFERROR(_xlfn.XLOOKUP($B112,[1]Sheet1!$A:$A,[1]Sheet1!$D:$D),0)</f>
        <v>38</v>
      </c>
      <c r="H111">
        <f>IFERROR(_xlfn.XLOOKUP($B112,[1]Sheet1!$A:$A,[1]Sheet1!$E:$E),0)</f>
        <v>28</v>
      </c>
      <c r="I111">
        <v>10364</v>
      </c>
      <c r="J111">
        <v>38460</v>
      </c>
      <c r="K111">
        <v>22239</v>
      </c>
      <c r="L111">
        <v>14652</v>
      </c>
    </row>
    <row r="112" spans="1:12">
      <c r="A112" t="s">
        <v>367</v>
      </c>
      <c r="B112" t="s">
        <v>368</v>
      </c>
      <c r="C112" t="s">
        <v>36</v>
      </c>
      <c r="D112" t="s">
        <v>37</v>
      </c>
      <c r="E112" s="5">
        <f>IFERROR(_xlfn.XLOOKUP($B113,[1]Sheet1!$A:$A,[1]Sheet1!$B:$B),0)</f>
        <v>30</v>
      </c>
      <c r="F112" s="5">
        <f>IFERROR(_xlfn.XLOOKUP($B113,[1]Sheet1!$A:$A,[1]Sheet1!$C:$C),0)</f>
        <v>4</v>
      </c>
      <c r="G112">
        <f>IFERROR(_xlfn.XLOOKUP($B113,[1]Sheet1!$A:$A,[1]Sheet1!$D:$D),0)</f>
        <v>16</v>
      </c>
      <c r="H112">
        <f>IFERROR(_xlfn.XLOOKUP($B113,[1]Sheet1!$A:$A,[1]Sheet1!$E:$E),0)</f>
        <v>13</v>
      </c>
      <c r="I112">
        <v>20119</v>
      </c>
      <c r="J112">
        <v>17741</v>
      </c>
      <c r="K112">
        <v>7672</v>
      </c>
      <c r="L112">
        <v>4902</v>
      </c>
    </row>
    <row r="113" spans="1:12">
      <c r="A113" t="s">
        <v>218</v>
      </c>
      <c r="B113" t="s">
        <v>219</v>
      </c>
      <c r="C113" t="s">
        <v>54</v>
      </c>
      <c r="D113" t="s">
        <v>55</v>
      </c>
      <c r="E113" s="5">
        <f>IFERROR(_xlfn.XLOOKUP($B114,[1]Sheet1!$A:$A,[1]Sheet1!$B:$B),0)</f>
        <v>32</v>
      </c>
      <c r="F113" s="5">
        <f>IFERROR(_xlfn.XLOOKUP($B114,[1]Sheet1!$A:$A,[1]Sheet1!$C:$C),0)</f>
        <v>30</v>
      </c>
      <c r="G113">
        <f>IFERROR(_xlfn.XLOOKUP($B114,[1]Sheet1!$A:$A,[1]Sheet1!$D:$D),0)</f>
        <v>60</v>
      </c>
      <c r="H113">
        <f>IFERROR(_xlfn.XLOOKUP($B114,[1]Sheet1!$A:$A,[1]Sheet1!$E:$E),0)</f>
        <v>63</v>
      </c>
      <c r="I113">
        <v>11646</v>
      </c>
      <c r="J113">
        <v>21950</v>
      </c>
      <c r="K113">
        <v>11475</v>
      </c>
      <c r="L113">
        <v>8118</v>
      </c>
    </row>
    <row r="114" spans="1:12">
      <c r="A114" t="s">
        <v>232</v>
      </c>
      <c r="B114" t="s">
        <v>233</v>
      </c>
      <c r="C114" t="s">
        <v>80</v>
      </c>
      <c r="D114" t="s">
        <v>81</v>
      </c>
      <c r="E114" s="5">
        <f>IFERROR(_xlfn.XLOOKUP($B115,[1]Sheet1!$A:$A,[1]Sheet1!$B:$B),0)</f>
        <v>13</v>
      </c>
      <c r="F114" s="5">
        <f>IFERROR(_xlfn.XLOOKUP($B115,[1]Sheet1!$A:$A,[1]Sheet1!$C:$C),0)</f>
        <v>14</v>
      </c>
      <c r="G114">
        <f>IFERROR(_xlfn.XLOOKUP($B115,[1]Sheet1!$A:$A,[1]Sheet1!$D:$D),0)</f>
        <v>32</v>
      </c>
      <c r="H114">
        <f>IFERROR(_xlfn.XLOOKUP($B115,[1]Sheet1!$A:$A,[1]Sheet1!$E:$E),0)</f>
        <v>30</v>
      </c>
      <c r="I114">
        <v>4824</v>
      </c>
      <c r="J114">
        <v>9877</v>
      </c>
      <c r="K114">
        <v>12601</v>
      </c>
      <c r="L114">
        <v>7317</v>
      </c>
    </row>
    <row r="115" spans="1:12">
      <c r="A115" t="s">
        <v>266</v>
      </c>
      <c r="B115" t="s">
        <v>267</v>
      </c>
      <c r="C115" t="s">
        <v>80</v>
      </c>
      <c r="D115" t="s">
        <v>81</v>
      </c>
      <c r="E115" s="5">
        <f>IFERROR(_xlfn.XLOOKUP($B116,[1]Sheet1!$A:$A,[1]Sheet1!$B:$B),0)</f>
        <v>1</v>
      </c>
      <c r="F115" s="5">
        <f>IFERROR(_xlfn.XLOOKUP($B116,[1]Sheet1!$A:$A,[1]Sheet1!$C:$C),0)</f>
        <v>0</v>
      </c>
      <c r="G115">
        <f>IFERROR(_xlfn.XLOOKUP($B116,[1]Sheet1!$A:$A,[1]Sheet1!$D:$D),0)</f>
        <v>0</v>
      </c>
      <c r="H115">
        <f>IFERROR(_xlfn.XLOOKUP($B116,[1]Sheet1!$A:$A,[1]Sheet1!$E:$E),0)</f>
        <v>0</v>
      </c>
      <c r="I115">
        <v>6837</v>
      </c>
      <c r="J115">
        <v>13799</v>
      </c>
      <c r="K115">
        <v>12511</v>
      </c>
      <c r="L115">
        <v>6745</v>
      </c>
    </row>
    <row r="116" spans="1:12">
      <c r="A116" t="s">
        <v>337</v>
      </c>
      <c r="B116" t="s">
        <v>338</v>
      </c>
      <c r="C116" t="s">
        <v>70</v>
      </c>
      <c r="D116" t="s">
        <v>71</v>
      </c>
      <c r="E116" s="5">
        <f>IFERROR(_xlfn.XLOOKUP($B117,[1]Sheet1!$A:$A,[1]Sheet1!$B:$B),0)</f>
        <v>6</v>
      </c>
      <c r="F116" s="5">
        <f>IFERROR(_xlfn.XLOOKUP($B117,[1]Sheet1!$A:$A,[1]Sheet1!$C:$C),0)</f>
        <v>15</v>
      </c>
      <c r="G116">
        <f>IFERROR(_xlfn.XLOOKUP($B117,[1]Sheet1!$A:$A,[1]Sheet1!$D:$D),0)</f>
        <v>12</v>
      </c>
      <c r="H116">
        <f>IFERROR(_xlfn.XLOOKUP($B117,[1]Sheet1!$A:$A,[1]Sheet1!$E:$E),0)</f>
        <v>31</v>
      </c>
      <c r="I116">
        <v>13479</v>
      </c>
      <c r="J116">
        <v>10908</v>
      </c>
      <c r="K116">
        <v>12613</v>
      </c>
      <c r="L116">
        <v>5155</v>
      </c>
    </row>
    <row r="117" spans="1:12">
      <c r="A117" t="s">
        <v>573</v>
      </c>
      <c r="B117" t="s">
        <v>574</v>
      </c>
      <c r="C117" t="s">
        <v>553</v>
      </c>
      <c r="D117" t="s">
        <v>554</v>
      </c>
      <c r="E117" s="5">
        <f>IFERROR(_xlfn.XLOOKUP($B118,[1]Sheet1!$A:$A,[1]Sheet1!$B:$B),0)</f>
        <v>8</v>
      </c>
      <c r="F117" s="5">
        <f>IFERROR(_xlfn.XLOOKUP($B118,[1]Sheet1!$A:$A,[1]Sheet1!$C:$C),0)</f>
        <v>10</v>
      </c>
      <c r="G117">
        <f>IFERROR(_xlfn.XLOOKUP($B118,[1]Sheet1!$A:$A,[1]Sheet1!$D:$D),0)</f>
        <v>19</v>
      </c>
      <c r="H117">
        <f>IFERROR(_xlfn.XLOOKUP($B118,[1]Sheet1!$A:$A,[1]Sheet1!$E:$E),0)</f>
        <v>31</v>
      </c>
      <c r="I117">
        <v>4656</v>
      </c>
      <c r="J117">
        <v>20106</v>
      </c>
      <c r="K117">
        <v>30419</v>
      </c>
      <c r="L117">
        <v>49157</v>
      </c>
    </row>
    <row r="118" spans="1:12">
      <c r="A118" t="s">
        <v>417</v>
      </c>
      <c r="B118" t="s">
        <v>418</v>
      </c>
      <c r="C118" t="s">
        <v>80</v>
      </c>
      <c r="D118" t="s">
        <v>81</v>
      </c>
      <c r="E118" s="5">
        <f>IFERROR(_xlfn.XLOOKUP($B119,[1]Sheet1!$A:$A,[1]Sheet1!$B:$B),0)</f>
        <v>23</v>
      </c>
      <c r="F118" s="5">
        <f>IFERROR(_xlfn.XLOOKUP($B119,[1]Sheet1!$A:$A,[1]Sheet1!$C:$C),0)</f>
        <v>4</v>
      </c>
      <c r="G118">
        <f>IFERROR(_xlfn.XLOOKUP($B119,[1]Sheet1!$A:$A,[1]Sheet1!$D:$D),0)</f>
        <v>22</v>
      </c>
      <c r="H118">
        <f>IFERROR(_xlfn.XLOOKUP($B119,[1]Sheet1!$A:$A,[1]Sheet1!$E:$E),0)</f>
        <v>35</v>
      </c>
      <c r="I118">
        <v>18664</v>
      </c>
      <c r="J118">
        <v>18188</v>
      </c>
      <c r="K118">
        <v>7588</v>
      </c>
      <c r="L118">
        <v>8404</v>
      </c>
    </row>
    <row r="119" spans="1:12">
      <c r="A119" t="s">
        <v>623</v>
      </c>
      <c r="B119" t="s">
        <v>624</v>
      </c>
      <c r="C119" t="s">
        <v>621</v>
      </c>
      <c r="D119" t="s">
        <v>622</v>
      </c>
      <c r="E119" s="5">
        <f>IFERROR(_xlfn.XLOOKUP($B120,[1]Sheet1!$A:$A,[1]Sheet1!$B:$B),0)</f>
        <v>2</v>
      </c>
      <c r="F119" s="5">
        <f>IFERROR(_xlfn.XLOOKUP($B120,[1]Sheet1!$A:$A,[1]Sheet1!$C:$C),0)</f>
        <v>117</v>
      </c>
      <c r="G119">
        <f>IFERROR(_xlfn.XLOOKUP($B120,[1]Sheet1!$A:$A,[1]Sheet1!$D:$D),0)</f>
        <v>20</v>
      </c>
      <c r="H119">
        <f>IFERROR(_xlfn.XLOOKUP($B120,[1]Sheet1!$A:$A,[1]Sheet1!$E:$E),0)</f>
        <v>57</v>
      </c>
      <c r="I119">
        <v>17732</v>
      </c>
      <c r="J119">
        <v>12980</v>
      </c>
      <c r="K119">
        <v>15300</v>
      </c>
      <c r="L119">
        <v>3098</v>
      </c>
    </row>
    <row r="120" spans="1:12">
      <c r="A120" t="s">
        <v>575</v>
      </c>
      <c r="B120" t="s">
        <v>576</v>
      </c>
      <c r="C120" t="s">
        <v>553</v>
      </c>
      <c r="D120" t="s">
        <v>554</v>
      </c>
      <c r="E120" s="5">
        <f>IFERROR(_xlfn.XLOOKUP($B121,[1]Sheet1!$A:$A,[1]Sheet1!$B:$B),0)</f>
        <v>24</v>
      </c>
      <c r="F120" s="5">
        <f>IFERROR(_xlfn.XLOOKUP($B121,[1]Sheet1!$A:$A,[1]Sheet1!$C:$C),0)</f>
        <v>11</v>
      </c>
      <c r="G120">
        <f>IFERROR(_xlfn.XLOOKUP($B121,[1]Sheet1!$A:$A,[1]Sheet1!$D:$D),0)</f>
        <v>27</v>
      </c>
      <c r="H120">
        <f>IFERROR(_xlfn.XLOOKUP($B121,[1]Sheet1!$A:$A,[1]Sheet1!$E:$E),0)</f>
        <v>17</v>
      </c>
      <c r="I120">
        <v>1433</v>
      </c>
      <c r="J120">
        <v>3816</v>
      </c>
      <c r="K120">
        <v>14729</v>
      </c>
      <c r="L120">
        <v>64067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s="5">
        <f>IFERROR(_xlfn.XLOOKUP($B122,[1]Sheet1!$A:$A,[1]Sheet1!$B:$B),0)</f>
        <v>0</v>
      </c>
      <c r="F121" s="5">
        <f>IFERROR(_xlfn.XLOOKUP($B122,[1]Sheet1!$A:$A,[1]Sheet1!$C:$C),0)</f>
        <v>0</v>
      </c>
      <c r="G121">
        <f>IFERROR(_xlfn.XLOOKUP($B122,[1]Sheet1!$A:$A,[1]Sheet1!$D:$D),0)</f>
        <v>0</v>
      </c>
      <c r="H121">
        <f>IFERROR(_xlfn.XLOOKUP($B122,[1]Sheet1!$A:$A,[1]Sheet1!$E:$E),0)</f>
        <v>0</v>
      </c>
      <c r="I121">
        <v>11746</v>
      </c>
      <c r="J121">
        <v>19285</v>
      </c>
      <c r="K121">
        <v>18675</v>
      </c>
      <c r="L121">
        <v>5317</v>
      </c>
    </row>
    <row r="122" spans="1:12">
      <c r="A122" t="s">
        <v>349</v>
      </c>
      <c r="B122" t="s">
        <v>350</v>
      </c>
      <c r="C122" t="s">
        <v>24</v>
      </c>
      <c r="D122" t="s">
        <v>25</v>
      </c>
      <c r="E122" s="5">
        <f>IFERROR(_xlfn.XLOOKUP($B123,[1]Sheet1!$A:$A,[1]Sheet1!$B:$B),0)</f>
        <v>25</v>
      </c>
      <c r="F122" s="5">
        <f>IFERROR(_xlfn.XLOOKUP($B123,[1]Sheet1!$A:$A,[1]Sheet1!$C:$C),0)</f>
        <v>6</v>
      </c>
      <c r="G122">
        <f>IFERROR(_xlfn.XLOOKUP($B123,[1]Sheet1!$A:$A,[1]Sheet1!$D:$D),0)</f>
        <v>14</v>
      </c>
      <c r="H122">
        <f>IFERROR(_xlfn.XLOOKUP($B123,[1]Sheet1!$A:$A,[1]Sheet1!$E:$E),0)</f>
        <v>30</v>
      </c>
      <c r="I122">
        <v>17377</v>
      </c>
      <c r="J122">
        <v>12527</v>
      </c>
      <c r="K122">
        <v>7817</v>
      </c>
      <c r="L122">
        <v>2138</v>
      </c>
    </row>
    <row r="123" spans="1:12">
      <c r="A123" t="s">
        <v>577</v>
      </c>
      <c r="B123" t="s">
        <v>578</v>
      </c>
      <c r="C123" t="s">
        <v>553</v>
      </c>
      <c r="D123" t="s">
        <v>554</v>
      </c>
      <c r="E123" s="5">
        <f>IFERROR(_xlfn.XLOOKUP($B124,[1]Sheet1!$A:$A,[1]Sheet1!$B:$B),0)</f>
        <v>1</v>
      </c>
      <c r="F123" s="5">
        <f>IFERROR(_xlfn.XLOOKUP($B124,[1]Sheet1!$A:$A,[1]Sheet1!$C:$C),0)</f>
        <v>83</v>
      </c>
      <c r="G123">
        <f>IFERROR(_xlfn.XLOOKUP($B124,[1]Sheet1!$A:$A,[1]Sheet1!$D:$D),0)</f>
        <v>2</v>
      </c>
      <c r="H123">
        <f>IFERROR(_xlfn.XLOOKUP($B124,[1]Sheet1!$A:$A,[1]Sheet1!$E:$E),0)</f>
        <v>21</v>
      </c>
      <c r="I123">
        <v>933</v>
      </c>
      <c r="J123">
        <v>3790</v>
      </c>
      <c r="K123">
        <v>15280</v>
      </c>
      <c r="L123">
        <v>39074</v>
      </c>
    </row>
    <row r="124" spans="1:12">
      <c r="A124" t="s">
        <v>309</v>
      </c>
      <c r="B124" t="s">
        <v>310</v>
      </c>
      <c r="C124" t="s">
        <v>36</v>
      </c>
      <c r="D124" t="s">
        <v>37</v>
      </c>
      <c r="E124" s="5">
        <f>IFERROR(_xlfn.XLOOKUP($B125,[1]Sheet1!$A:$A,[1]Sheet1!$B:$B),0)</f>
        <v>43</v>
      </c>
      <c r="F124" s="5">
        <f>IFERROR(_xlfn.XLOOKUP($B125,[1]Sheet1!$A:$A,[1]Sheet1!$C:$C),0)</f>
        <v>20</v>
      </c>
      <c r="G124">
        <f>IFERROR(_xlfn.XLOOKUP($B125,[1]Sheet1!$A:$A,[1]Sheet1!$D:$D),0)</f>
        <v>16</v>
      </c>
      <c r="H124">
        <f>IFERROR(_xlfn.XLOOKUP($B125,[1]Sheet1!$A:$A,[1]Sheet1!$E:$E),0)</f>
        <v>41</v>
      </c>
      <c r="I124">
        <v>19739</v>
      </c>
      <c r="J124">
        <v>11794</v>
      </c>
      <c r="K124">
        <v>5815</v>
      </c>
      <c r="L124">
        <v>2237</v>
      </c>
    </row>
    <row r="125" spans="1:12">
      <c r="A125" t="s">
        <v>579</v>
      </c>
      <c r="B125" t="s">
        <v>580</v>
      </c>
      <c r="C125" t="s">
        <v>553</v>
      </c>
      <c r="D125" t="s">
        <v>554</v>
      </c>
      <c r="E125" s="5">
        <f>IFERROR(_xlfn.XLOOKUP($B126,[1]Sheet1!$A:$A,[1]Sheet1!$B:$B),0)</f>
        <v>0</v>
      </c>
      <c r="F125" s="5">
        <f>IFERROR(_xlfn.XLOOKUP($B126,[1]Sheet1!$A:$A,[1]Sheet1!$C:$C),0)</f>
        <v>121</v>
      </c>
      <c r="G125">
        <f>IFERROR(_xlfn.XLOOKUP($B126,[1]Sheet1!$A:$A,[1]Sheet1!$D:$D),0)</f>
        <v>4</v>
      </c>
      <c r="H125">
        <f>IFERROR(_xlfn.XLOOKUP($B126,[1]Sheet1!$A:$A,[1]Sheet1!$E:$E),0)</f>
        <v>25</v>
      </c>
      <c r="I125">
        <v>4057</v>
      </c>
      <c r="J125">
        <v>9899</v>
      </c>
      <c r="K125">
        <v>26896</v>
      </c>
      <c r="L125">
        <v>37181</v>
      </c>
    </row>
    <row r="126" spans="1:12">
      <c r="A126" t="s">
        <v>202</v>
      </c>
      <c r="B126" t="s">
        <v>203</v>
      </c>
      <c r="C126" t="s">
        <v>70</v>
      </c>
      <c r="D126" t="s">
        <v>71</v>
      </c>
      <c r="E126" s="5">
        <f>IFERROR(_xlfn.XLOOKUP($B127,[1]Sheet1!$A:$A,[1]Sheet1!$B:$B),0)</f>
        <v>0</v>
      </c>
      <c r="F126" s="5">
        <f>IFERROR(_xlfn.XLOOKUP($B127,[1]Sheet1!$A:$A,[1]Sheet1!$C:$C),0)</f>
        <v>0</v>
      </c>
      <c r="G126">
        <f>IFERROR(_xlfn.XLOOKUP($B127,[1]Sheet1!$A:$A,[1]Sheet1!$D:$D),0)</f>
        <v>0</v>
      </c>
      <c r="H126">
        <f>IFERROR(_xlfn.XLOOKUP($B127,[1]Sheet1!$A:$A,[1]Sheet1!$E:$E),0)</f>
        <v>0</v>
      </c>
      <c r="I126">
        <v>3863</v>
      </c>
      <c r="J126">
        <v>6551</v>
      </c>
      <c r="K126">
        <v>17166</v>
      </c>
      <c r="L126">
        <v>9466</v>
      </c>
    </row>
    <row r="127" spans="1:12">
      <c r="A127" t="s">
        <v>351</v>
      </c>
      <c r="B127" t="s">
        <v>352</v>
      </c>
      <c r="C127" t="s">
        <v>24</v>
      </c>
      <c r="D127" t="s">
        <v>25</v>
      </c>
      <c r="E127" s="5">
        <f>IFERROR(_xlfn.XLOOKUP($B128,[1]Sheet1!$A:$A,[1]Sheet1!$B:$B),0)</f>
        <v>38</v>
      </c>
      <c r="F127" s="5">
        <f>IFERROR(_xlfn.XLOOKUP($B128,[1]Sheet1!$A:$A,[1]Sheet1!$C:$C),0)</f>
        <v>8</v>
      </c>
      <c r="G127">
        <f>IFERROR(_xlfn.XLOOKUP($B128,[1]Sheet1!$A:$A,[1]Sheet1!$D:$D),0)</f>
        <v>21</v>
      </c>
      <c r="H127">
        <f>IFERROR(_xlfn.XLOOKUP($B128,[1]Sheet1!$A:$A,[1]Sheet1!$E:$E),0)</f>
        <v>19</v>
      </c>
      <c r="I127">
        <v>22880</v>
      </c>
      <c r="J127">
        <v>21976</v>
      </c>
      <c r="K127">
        <v>13760</v>
      </c>
      <c r="L127">
        <v>7208</v>
      </c>
    </row>
    <row r="128" spans="1:12">
      <c r="A128" t="s">
        <v>581</v>
      </c>
      <c r="B128" t="s">
        <v>582</v>
      </c>
      <c r="C128" t="s">
        <v>553</v>
      </c>
      <c r="D128" t="s">
        <v>554</v>
      </c>
      <c r="E128" s="5">
        <f>IFERROR(_xlfn.XLOOKUP($B129,[1]Sheet1!$A:$A,[1]Sheet1!$B:$B),0)</f>
        <v>2</v>
      </c>
      <c r="F128" s="5">
        <f>IFERROR(_xlfn.XLOOKUP($B129,[1]Sheet1!$A:$A,[1]Sheet1!$C:$C),0)</f>
        <v>85</v>
      </c>
      <c r="G128">
        <f>IFERROR(_xlfn.XLOOKUP($B129,[1]Sheet1!$A:$A,[1]Sheet1!$D:$D),0)</f>
        <v>8</v>
      </c>
      <c r="H128">
        <f>IFERROR(_xlfn.XLOOKUP($B129,[1]Sheet1!$A:$A,[1]Sheet1!$E:$E),0)</f>
        <v>50</v>
      </c>
      <c r="I128">
        <v>10174</v>
      </c>
      <c r="J128">
        <v>33281</v>
      </c>
      <c r="K128">
        <v>15136</v>
      </c>
      <c r="L128">
        <v>23528</v>
      </c>
    </row>
    <row r="129" spans="1:12">
      <c r="A129" t="s">
        <v>234</v>
      </c>
      <c r="B129" t="s">
        <v>235</v>
      </c>
      <c r="C129" t="s">
        <v>80</v>
      </c>
      <c r="D129" t="s">
        <v>81</v>
      </c>
      <c r="E129" s="5">
        <f>IFERROR(_xlfn.XLOOKUP($B130,[1]Sheet1!$A:$A,[1]Sheet1!$B:$B),0)</f>
        <v>4</v>
      </c>
      <c r="F129" s="5">
        <f>IFERROR(_xlfn.XLOOKUP($B130,[1]Sheet1!$A:$A,[1]Sheet1!$C:$C),0)</f>
        <v>13</v>
      </c>
      <c r="G129">
        <f>IFERROR(_xlfn.XLOOKUP($B130,[1]Sheet1!$A:$A,[1]Sheet1!$D:$D),0)</f>
        <v>13</v>
      </c>
      <c r="H129">
        <f>IFERROR(_xlfn.XLOOKUP($B130,[1]Sheet1!$A:$A,[1]Sheet1!$E:$E),0)</f>
        <v>27</v>
      </c>
      <c r="I129">
        <v>16982</v>
      </c>
      <c r="J129">
        <v>10238</v>
      </c>
      <c r="K129">
        <v>7273</v>
      </c>
      <c r="L129">
        <v>4496</v>
      </c>
    </row>
    <row r="130" spans="1:12">
      <c r="A130" t="s">
        <v>0</v>
      </c>
      <c r="B130" t="s">
        <v>1</v>
      </c>
      <c r="C130" t="s">
        <v>2</v>
      </c>
      <c r="D130" t="s">
        <v>3</v>
      </c>
      <c r="E130" s="5">
        <f>IFERROR(_xlfn.XLOOKUP($B131,[1]Sheet1!$A:$A,[1]Sheet1!$B:$B),0)</f>
        <v>15</v>
      </c>
      <c r="F130" s="5">
        <f>IFERROR(_xlfn.XLOOKUP($B131,[1]Sheet1!$A:$A,[1]Sheet1!$C:$C),0)</f>
        <v>61</v>
      </c>
      <c r="G130">
        <f>IFERROR(_xlfn.XLOOKUP($B131,[1]Sheet1!$A:$A,[1]Sheet1!$D:$D),0)</f>
        <v>25</v>
      </c>
      <c r="H130">
        <f>IFERROR(_xlfn.XLOOKUP($B131,[1]Sheet1!$A:$A,[1]Sheet1!$E:$E),0)</f>
        <v>27</v>
      </c>
      <c r="I130">
        <v>8086</v>
      </c>
      <c r="J130">
        <v>14537</v>
      </c>
      <c r="K130">
        <v>13469</v>
      </c>
      <c r="L130">
        <v>3995</v>
      </c>
    </row>
    <row r="131" spans="1:12">
      <c r="A131" t="s">
        <v>180</v>
      </c>
      <c r="B131" t="s">
        <v>181</v>
      </c>
      <c r="C131" t="s">
        <v>80</v>
      </c>
      <c r="D131" t="s">
        <v>81</v>
      </c>
      <c r="E131" s="5">
        <f>IFERROR(_xlfn.XLOOKUP($B132,[1]Sheet1!$A:$A,[1]Sheet1!$B:$B),0)</f>
        <v>24</v>
      </c>
      <c r="F131" s="5">
        <f>IFERROR(_xlfn.XLOOKUP($B132,[1]Sheet1!$A:$A,[1]Sheet1!$C:$C),0)</f>
        <v>11</v>
      </c>
      <c r="G131">
        <f>IFERROR(_xlfn.XLOOKUP($B132,[1]Sheet1!$A:$A,[1]Sheet1!$D:$D),0)</f>
        <v>26</v>
      </c>
      <c r="H131">
        <f>IFERROR(_xlfn.XLOOKUP($B132,[1]Sheet1!$A:$A,[1]Sheet1!$E:$E),0)</f>
        <v>14</v>
      </c>
      <c r="I131">
        <v>7732</v>
      </c>
      <c r="J131">
        <v>8836</v>
      </c>
      <c r="K131">
        <v>9155</v>
      </c>
      <c r="L131">
        <v>8074</v>
      </c>
    </row>
    <row r="132" spans="1:12">
      <c r="A132" t="s">
        <v>236</v>
      </c>
      <c r="B132" t="s">
        <v>237</v>
      </c>
      <c r="C132" t="s">
        <v>80</v>
      </c>
      <c r="D132" t="s">
        <v>81</v>
      </c>
      <c r="E132" s="5">
        <f>IFERROR(_xlfn.XLOOKUP($B133,[1]Sheet1!$A:$A,[1]Sheet1!$B:$B),0)</f>
        <v>32</v>
      </c>
      <c r="F132" s="5">
        <f>IFERROR(_xlfn.XLOOKUP($B133,[1]Sheet1!$A:$A,[1]Sheet1!$C:$C),0)</f>
        <v>1</v>
      </c>
      <c r="G132">
        <f>IFERROR(_xlfn.XLOOKUP($B133,[1]Sheet1!$A:$A,[1]Sheet1!$D:$D),0)</f>
        <v>28</v>
      </c>
      <c r="H132">
        <f>IFERROR(_xlfn.XLOOKUP($B133,[1]Sheet1!$A:$A,[1]Sheet1!$E:$E),0)</f>
        <v>40</v>
      </c>
      <c r="I132">
        <v>15181</v>
      </c>
      <c r="J132">
        <v>15840</v>
      </c>
      <c r="K132">
        <v>12241</v>
      </c>
      <c r="L132">
        <v>8806</v>
      </c>
    </row>
    <row r="133" spans="1:12">
      <c r="A133" t="s">
        <v>583</v>
      </c>
      <c r="B133" t="s">
        <v>584</v>
      </c>
      <c r="C133" t="s">
        <v>553</v>
      </c>
      <c r="D133" t="s">
        <v>554</v>
      </c>
      <c r="E133" s="5">
        <f>IFERROR(_xlfn.XLOOKUP($B134,[1]Sheet1!$A:$A,[1]Sheet1!$B:$B),0)</f>
        <v>0</v>
      </c>
      <c r="F133" s="5">
        <f>IFERROR(_xlfn.XLOOKUP($B134,[1]Sheet1!$A:$A,[1]Sheet1!$C:$C),0)</f>
        <v>0</v>
      </c>
      <c r="G133">
        <f>IFERROR(_xlfn.XLOOKUP($B134,[1]Sheet1!$A:$A,[1]Sheet1!$D:$D),0)</f>
        <v>0</v>
      </c>
      <c r="H133">
        <f>IFERROR(_xlfn.XLOOKUP($B134,[1]Sheet1!$A:$A,[1]Sheet1!$E:$E),0)</f>
        <v>0</v>
      </c>
      <c r="I133">
        <v>11276</v>
      </c>
      <c r="J133">
        <v>41729</v>
      </c>
      <c r="K133">
        <v>24643</v>
      </c>
      <c r="L133">
        <v>20101</v>
      </c>
    </row>
    <row r="134" spans="1:12">
      <c r="A134" t="s">
        <v>44</v>
      </c>
      <c r="B134" t="s">
        <v>45</v>
      </c>
      <c r="C134" t="s">
        <v>46</v>
      </c>
      <c r="D134" t="s">
        <v>47</v>
      </c>
      <c r="E134" s="5">
        <f>IFERROR(_xlfn.XLOOKUP($B135,[1]Sheet1!$A:$A,[1]Sheet1!$B:$B),0)</f>
        <v>22</v>
      </c>
      <c r="F134" s="5">
        <f>IFERROR(_xlfn.XLOOKUP($B135,[1]Sheet1!$A:$A,[1]Sheet1!$C:$C),0)</f>
        <v>18</v>
      </c>
      <c r="G134">
        <f>IFERROR(_xlfn.XLOOKUP($B135,[1]Sheet1!$A:$A,[1]Sheet1!$D:$D),0)</f>
        <v>25</v>
      </c>
      <c r="H134">
        <f>IFERROR(_xlfn.XLOOKUP($B135,[1]Sheet1!$A:$A,[1]Sheet1!$E:$E),0)</f>
        <v>16</v>
      </c>
      <c r="I134">
        <v>35100</v>
      </c>
      <c r="J134">
        <v>23379</v>
      </c>
      <c r="K134">
        <v>13535</v>
      </c>
      <c r="L134">
        <v>6949</v>
      </c>
    </row>
    <row r="135" spans="1:12">
      <c r="A135" t="s">
        <v>250</v>
      </c>
      <c r="B135" t="s">
        <v>251</v>
      </c>
      <c r="C135" t="s">
        <v>70</v>
      </c>
      <c r="D135" t="s">
        <v>71</v>
      </c>
      <c r="E135" s="5">
        <f>IFERROR(_xlfn.XLOOKUP($B136,[1]Sheet1!$A:$A,[1]Sheet1!$B:$B),0)</f>
        <v>21</v>
      </c>
      <c r="F135" s="5">
        <f>IFERROR(_xlfn.XLOOKUP($B136,[1]Sheet1!$A:$A,[1]Sheet1!$C:$C),0)</f>
        <v>25</v>
      </c>
      <c r="G135">
        <f>IFERROR(_xlfn.XLOOKUP($B136,[1]Sheet1!$A:$A,[1]Sheet1!$D:$D),0)</f>
        <v>64</v>
      </c>
      <c r="H135">
        <f>IFERROR(_xlfn.XLOOKUP($B136,[1]Sheet1!$A:$A,[1]Sheet1!$E:$E),0)</f>
        <v>57</v>
      </c>
      <c r="I135">
        <v>7985</v>
      </c>
      <c r="J135">
        <v>13839</v>
      </c>
      <c r="K135">
        <v>8700</v>
      </c>
      <c r="L135">
        <v>10576</v>
      </c>
    </row>
    <row r="136" spans="1:12">
      <c r="A136" t="s">
        <v>156</v>
      </c>
      <c r="B136" t="s">
        <v>157</v>
      </c>
      <c r="C136" t="s">
        <v>36</v>
      </c>
      <c r="D136" t="s">
        <v>37</v>
      </c>
      <c r="E136" s="5">
        <f>IFERROR(_xlfn.XLOOKUP($B137,[1]Sheet1!$A:$A,[1]Sheet1!$B:$B),0)</f>
        <v>57</v>
      </c>
      <c r="F136" s="5">
        <f>IFERROR(_xlfn.XLOOKUP($B137,[1]Sheet1!$A:$A,[1]Sheet1!$C:$C),0)</f>
        <v>8</v>
      </c>
      <c r="G136">
        <f>IFERROR(_xlfn.XLOOKUP($B137,[1]Sheet1!$A:$A,[1]Sheet1!$D:$D),0)</f>
        <v>49</v>
      </c>
      <c r="H136">
        <f>IFERROR(_xlfn.XLOOKUP($B137,[1]Sheet1!$A:$A,[1]Sheet1!$E:$E),0)</f>
        <v>39</v>
      </c>
      <c r="I136">
        <v>9765</v>
      </c>
      <c r="J136">
        <v>12469</v>
      </c>
      <c r="K136">
        <v>13482</v>
      </c>
      <c r="L136">
        <v>2993</v>
      </c>
    </row>
    <row r="137" spans="1:12">
      <c r="A137" t="s">
        <v>585</v>
      </c>
      <c r="B137" t="s">
        <v>586</v>
      </c>
      <c r="C137" t="s">
        <v>553</v>
      </c>
      <c r="D137" t="s">
        <v>554</v>
      </c>
      <c r="E137" s="5">
        <f>IFERROR(_xlfn.XLOOKUP($B138,[1]Sheet1!$A:$A,[1]Sheet1!$B:$B),0)</f>
        <v>18</v>
      </c>
      <c r="F137" s="5">
        <f>IFERROR(_xlfn.XLOOKUP($B138,[1]Sheet1!$A:$A,[1]Sheet1!$C:$C),0)</f>
        <v>14</v>
      </c>
      <c r="G137">
        <f>IFERROR(_xlfn.XLOOKUP($B138,[1]Sheet1!$A:$A,[1]Sheet1!$D:$D),0)</f>
        <v>32</v>
      </c>
      <c r="H137">
        <f>IFERROR(_xlfn.XLOOKUP($B138,[1]Sheet1!$A:$A,[1]Sheet1!$E:$E),0)</f>
        <v>11</v>
      </c>
      <c r="I137">
        <v>15182</v>
      </c>
      <c r="J137">
        <v>38338</v>
      </c>
      <c r="K137">
        <v>21773</v>
      </c>
      <c r="L137">
        <v>28585</v>
      </c>
    </row>
    <row r="138" spans="1:12">
      <c r="A138" t="s">
        <v>311</v>
      </c>
      <c r="B138" t="s">
        <v>312</v>
      </c>
      <c r="C138" t="s">
        <v>36</v>
      </c>
      <c r="D138" t="s">
        <v>37</v>
      </c>
      <c r="E138" s="5">
        <f>IFERROR(_xlfn.XLOOKUP($B139,[1]Sheet1!$A:$A,[1]Sheet1!$B:$B),0)</f>
        <v>17</v>
      </c>
      <c r="F138" s="5">
        <f>IFERROR(_xlfn.XLOOKUP($B139,[1]Sheet1!$A:$A,[1]Sheet1!$C:$C),0)</f>
        <v>9</v>
      </c>
      <c r="G138">
        <f>IFERROR(_xlfn.XLOOKUP($B139,[1]Sheet1!$A:$A,[1]Sheet1!$D:$D),0)</f>
        <v>26</v>
      </c>
      <c r="H138">
        <f>IFERROR(_xlfn.XLOOKUP($B139,[1]Sheet1!$A:$A,[1]Sheet1!$E:$E),0)</f>
        <v>34</v>
      </c>
      <c r="I138">
        <v>18712</v>
      </c>
      <c r="J138">
        <v>18659</v>
      </c>
      <c r="K138">
        <v>7741</v>
      </c>
      <c r="L138">
        <v>3299</v>
      </c>
    </row>
    <row r="139" spans="1:12">
      <c r="A139" t="s">
        <v>453</v>
      </c>
      <c r="B139" t="s">
        <v>454</v>
      </c>
      <c r="C139" t="s">
        <v>80</v>
      </c>
      <c r="D139" t="s">
        <v>81</v>
      </c>
      <c r="E139" s="5">
        <f>IFERROR(_xlfn.XLOOKUP($B140,[1]Sheet1!$A:$A,[1]Sheet1!$B:$B),0)</f>
        <v>26</v>
      </c>
      <c r="F139" s="5">
        <f>IFERROR(_xlfn.XLOOKUP($B140,[1]Sheet1!$A:$A,[1]Sheet1!$C:$C),0)</f>
        <v>55</v>
      </c>
      <c r="G139">
        <f>IFERROR(_xlfn.XLOOKUP($B140,[1]Sheet1!$A:$A,[1]Sheet1!$D:$D),0)</f>
        <v>52</v>
      </c>
      <c r="H139">
        <f>IFERROR(_xlfn.XLOOKUP($B140,[1]Sheet1!$A:$A,[1]Sheet1!$E:$E),0)</f>
        <v>36</v>
      </c>
      <c r="I139">
        <v>23201</v>
      </c>
      <c r="J139">
        <v>16747</v>
      </c>
      <c r="K139">
        <v>10659</v>
      </c>
      <c r="L139">
        <v>9723</v>
      </c>
    </row>
    <row r="140" spans="1:12">
      <c r="A140" t="s">
        <v>587</v>
      </c>
      <c r="B140" t="s">
        <v>588</v>
      </c>
      <c r="C140" t="s">
        <v>553</v>
      </c>
      <c r="D140" t="s">
        <v>554</v>
      </c>
      <c r="E140" s="5">
        <f>IFERROR(_xlfn.XLOOKUP($B141,[1]Sheet1!$A:$A,[1]Sheet1!$B:$B),0)</f>
        <v>44</v>
      </c>
      <c r="F140" s="5">
        <f>IFERROR(_xlfn.XLOOKUP($B141,[1]Sheet1!$A:$A,[1]Sheet1!$C:$C),0)</f>
        <v>8</v>
      </c>
      <c r="G140">
        <f>IFERROR(_xlfn.XLOOKUP($B141,[1]Sheet1!$A:$A,[1]Sheet1!$D:$D),0)</f>
        <v>33</v>
      </c>
      <c r="H140">
        <f>IFERROR(_xlfn.XLOOKUP($B141,[1]Sheet1!$A:$A,[1]Sheet1!$E:$E),0)</f>
        <v>13</v>
      </c>
      <c r="I140">
        <v>5022</v>
      </c>
      <c r="J140">
        <v>29477</v>
      </c>
      <c r="K140">
        <v>21123</v>
      </c>
      <c r="L140">
        <v>38538</v>
      </c>
    </row>
    <row r="141" spans="1:12">
      <c r="A141" t="s">
        <v>130</v>
      </c>
      <c r="B141" t="s">
        <v>131</v>
      </c>
      <c r="C141" t="s">
        <v>70</v>
      </c>
      <c r="D141" t="s">
        <v>71</v>
      </c>
      <c r="E141" s="5">
        <f>IFERROR(_xlfn.XLOOKUP($B142,[1]Sheet1!$A:$A,[1]Sheet1!$B:$B),0)</f>
        <v>55</v>
      </c>
      <c r="F141" s="5">
        <f>IFERROR(_xlfn.XLOOKUP($B142,[1]Sheet1!$A:$A,[1]Sheet1!$C:$C),0)</f>
        <v>17</v>
      </c>
      <c r="G141">
        <f>IFERROR(_xlfn.XLOOKUP($B142,[1]Sheet1!$A:$A,[1]Sheet1!$D:$D),0)</f>
        <v>27</v>
      </c>
      <c r="H141">
        <f>IFERROR(_xlfn.XLOOKUP($B142,[1]Sheet1!$A:$A,[1]Sheet1!$E:$E),0)</f>
        <v>21</v>
      </c>
      <c r="I141">
        <v>30548</v>
      </c>
      <c r="J141">
        <v>23248</v>
      </c>
      <c r="K141">
        <v>13860</v>
      </c>
      <c r="L141">
        <v>7027</v>
      </c>
    </row>
    <row r="142" spans="1:12">
      <c r="A142" t="s">
        <v>287</v>
      </c>
      <c r="B142" t="s">
        <v>288</v>
      </c>
      <c r="C142" t="s">
        <v>14</v>
      </c>
      <c r="D142" t="s">
        <v>15</v>
      </c>
      <c r="E142" s="5">
        <f>IFERROR(_xlfn.XLOOKUP($B143,[1]Sheet1!$A:$A,[1]Sheet1!$B:$B),0)</f>
        <v>3</v>
      </c>
      <c r="F142" s="5">
        <f>IFERROR(_xlfn.XLOOKUP($B143,[1]Sheet1!$A:$A,[1]Sheet1!$C:$C),0)</f>
        <v>74</v>
      </c>
      <c r="G142">
        <f>IFERROR(_xlfn.XLOOKUP($B143,[1]Sheet1!$A:$A,[1]Sheet1!$D:$D),0)</f>
        <v>34</v>
      </c>
      <c r="H142">
        <f>IFERROR(_xlfn.XLOOKUP($B143,[1]Sheet1!$A:$A,[1]Sheet1!$E:$E),0)</f>
        <v>39</v>
      </c>
      <c r="I142">
        <v>4409</v>
      </c>
      <c r="J142">
        <v>9518</v>
      </c>
      <c r="K142">
        <v>17536</v>
      </c>
      <c r="L142">
        <v>2563</v>
      </c>
    </row>
    <row r="143" spans="1:12">
      <c r="A143" t="s">
        <v>409</v>
      </c>
      <c r="B143" t="s">
        <v>410</v>
      </c>
      <c r="C143" t="s">
        <v>70</v>
      </c>
      <c r="D143" t="s">
        <v>71</v>
      </c>
      <c r="E143" s="5">
        <f>IFERROR(_xlfn.XLOOKUP($B144,[1]Sheet1!$A:$A,[1]Sheet1!$B:$B),0)</f>
        <v>70</v>
      </c>
      <c r="F143" s="5">
        <f>IFERROR(_xlfn.XLOOKUP($B144,[1]Sheet1!$A:$A,[1]Sheet1!$C:$C),0)</f>
        <v>17</v>
      </c>
      <c r="G143">
        <f>IFERROR(_xlfn.XLOOKUP($B144,[1]Sheet1!$A:$A,[1]Sheet1!$D:$D),0)</f>
        <v>62</v>
      </c>
      <c r="H143">
        <f>IFERROR(_xlfn.XLOOKUP($B144,[1]Sheet1!$A:$A,[1]Sheet1!$E:$E),0)</f>
        <v>32</v>
      </c>
      <c r="I143">
        <v>8429</v>
      </c>
      <c r="J143">
        <v>22907</v>
      </c>
      <c r="K143">
        <v>13267</v>
      </c>
      <c r="L143">
        <v>12311</v>
      </c>
    </row>
    <row r="144" spans="1:12">
      <c r="A144" t="s">
        <v>619</v>
      </c>
      <c r="B144" t="s">
        <v>620</v>
      </c>
      <c r="C144" t="s">
        <v>621</v>
      </c>
      <c r="D144" t="s">
        <v>622</v>
      </c>
      <c r="E144" s="5">
        <f>IFERROR(_xlfn.XLOOKUP($B145,[1]Sheet1!$A:$A,[1]Sheet1!$B:$B),0)</f>
        <v>10</v>
      </c>
      <c r="F144" s="5">
        <f>IFERROR(_xlfn.XLOOKUP($B145,[1]Sheet1!$A:$A,[1]Sheet1!$C:$C),0)</f>
        <v>0</v>
      </c>
      <c r="G144">
        <f>IFERROR(_xlfn.XLOOKUP($B145,[1]Sheet1!$A:$A,[1]Sheet1!$D:$D),0)</f>
        <v>14</v>
      </c>
      <c r="H144">
        <f>IFERROR(_xlfn.XLOOKUP($B145,[1]Sheet1!$A:$A,[1]Sheet1!$E:$E),0)</f>
        <v>46</v>
      </c>
      <c r="I144">
        <v>14623</v>
      </c>
      <c r="J144">
        <v>7051</v>
      </c>
      <c r="K144">
        <v>6827</v>
      </c>
      <c r="L144">
        <v>1423</v>
      </c>
    </row>
    <row r="145" spans="1:12">
      <c r="A145" t="s">
        <v>102</v>
      </c>
      <c r="B145" t="s">
        <v>103</v>
      </c>
      <c r="C145" t="s">
        <v>80</v>
      </c>
      <c r="D145" t="s">
        <v>81</v>
      </c>
      <c r="E145" s="5">
        <f>IFERROR(_xlfn.XLOOKUP($B146,[1]Sheet1!$A:$A,[1]Sheet1!$B:$B),0)</f>
        <v>11</v>
      </c>
      <c r="F145" s="5">
        <f>IFERROR(_xlfn.XLOOKUP($B146,[1]Sheet1!$A:$A,[1]Sheet1!$C:$C),0)</f>
        <v>16</v>
      </c>
      <c r="G145">
        <f>IFERROR(_xlfn.XLOOKUP($B146,[1]Sheet1!$A:$A,[1]Sheet1!$D:$D),0)</f>
        <v>31</v>
      </c>
      <c r="H145">
        <f>IFERROR(_xlfn.XLOOKUP($B146,[1]Sheet1!$A:$A,[1]Sheet1!$E:$E),0)</f>
        <v>26</v>
      </c>
      <c r="I145">
        <v>22024</v>
      </c>
      <c r="J145">
        <v>19076</v>
      </c>
      <c r="K145">
        <v>9877</v>
      </c>
      <c r="L145">
        <v>8572</v>
      </c>
    </row>
    <row r="146" spans="1:12">
      <c r="A146" t="s">
        <v>114</v>
      </c>
      <c r="B146" t="s">
        <v>115</v>
      </c>
      <c r="C146" t="s">
        <v>54</v>
      </c>
      <c r="D146" t="s">
        <v>55</v>
      </c>
      <c r="E146" s="5">
        <f>IFERROR(_xlfn.XLOOKUP($B147,[1]Sheet1!$A:$A,[1]Sheet1!$B:$B),0)</f>
        <v>27</v>
      </c>
      <c r="F146" s="5">
        <f>IFERROR(_xlfn.XLOOKUP($B147,[1]Sheet1!$A:$A,[1]Sheet1!$C:$C),0)</f>
        <v>2</v>
      </c>
      <c r="G146">
        <f>IFERROR(_xlfn.XLOOKUP($B147,[1]Sheet1!$A:$A,[1]Sheet1!$D:$D),0)</f>
        <v>12</v>
      </c>
      <c r="H146">
        <f>IFERROR(_xlfn.XLOOKUP($B147,[1]Sheet1!$A:$A,[1]Sheet1!$E:$E),0)</f>
        <v>18</v>
      </c>
      <c r="I146">
        <v>321</v>
      </c>
      <c r="J146">
        <v>220</v>
      </c>
      <c r="K146">
        <v>166</v>
      </c>
      <c r="L146">
        <v>77</v>
      </c>
    </row>
    <row r="147" spans="1:12">
      <c r="A147" t="s">
        <v>589</v>
      </c>
      <c r="B147" t="s">
        <v>590</v>
      </c>
      <c r="C147" t="s">
        <v>553</v>
      </c>
      <c r="D147" t="s">
        <v>554</v>
      </c>
      <c r="E147" s="5">
        <f>IFERROR(_xlfn.XLOOKUP($B148,[1]Sheet1!$A:$A,[1]Sheet1!$B:$B),0)</f>
        <v>42</v>
      </c>
      <c r="F147" s="5">
        <f>IFERROR(_xlfn.XLOOKUP($B148,[1]Sheet1!$A:$A,[1]Sheet1!$C:$C),0)</f>
        <v>26</v>
      </c>
      <c r="G147">
        <f>IFERROR(_xlfn.XLOOKUP($B148,[1]Sheet1!$A:$A,[1]Sheet1!$D:$D),0)</f>
        <v>29</v>
      </c>
      <c r="H147">
        <f>IFERROR(_xlfn.XLOOKUP($B148,[1]Sheet1!$A:$A,[1]Sheet1!$E:$E),0)</f>
        <v>25</v>
      </c>
      <c r="I147">
        <v>826</v>
      </c>
      <c r="J147">
        <v>2639</v>
      </c>
      <c r="K147">
        <v>12265</v>
      </c>
      <c r="L147">
        <v>55352</v>
      </c>
    </row>
    <row r="148" spans="1:12">
      <c r="A148" t="s">
        <v>591</v>
      </c>
      <c r="B148" t="s">
        <v>592</v>
      </c>
      <c r="C148" t="s">
        <v>553</v>
      </c>
      <c r="D148" t="s">
        <v>554</v>
      </c>
      <c r="E148" s="5">
        <f>IFERROR(_xlfn.XLOOKUP($B149,[1]Sheet1!$A:$A,[1]Sheet1!$B:$B),0)</f>
        <v>0</v>
      </c>
      <c r="F148" s="5">
        <f>IFERROR(_xlfn.XLOOKUP($B149,[1]Sheet1!$A:$A,[1]Sheet1!$C:$C),0)</f>
        <v>0</v>
      </c>
      <c r="G148">
        <f>IFERROR(_xlfn.XLOOKUP($B149,[1]Sheet1!$A:$A,[1]Sheet1!$D:$D),0)</f>
        <v>0</v>
      </c>
      <c r="H148">
        <f>IFERROR(_xlfn.XLOOKUP($B149,[1]Sheet1!$A:$A,[1]Sheet1!$E:$E),0)</f>
        <v>2</v>
      </c>
      <c r="I148">
        <v>767</v>
      </c>
      <c r="J148">
        <v>2064</v>
      </c>
      <c r="K148">
        <v>8561</v>
      </c>
      <c r="L148">
        <v>37911</v>
      </c>
    </row>
    <row r="149" spans="1:12">
      <c r="A149" t="s">
        <v>339</v>
      </c>
      <c r="B149" t="s">
        <v>340</v>
      </c>
      <c r="C149" t="s">
        <v>70</v>
      </c>
      <c r="D149" t="s">
        <v>71</v>
      </c>
      <c r="E149" s="5">
        <f>IFERROR(_xlfn.XLOOKUP($B150,[1]Sheet1!$A:$A,[1]Sheet1!$B:$B),0)</f>
        <v>16</v>
      </c>
      <c r="F149" s="5">
        <f>IFERROR(_xlfn.XLOOKUP($B150,[1]Sheet1!$A:$A,[1]Sheet1!$C:$C),0)</f>
        <v>101</v>
      </c>
      <c r="G149">
        <f>IFERROR(_xlfn.XLOOKUP($B150,[1]Sheet1!$A:$A,[1]Sheet1!$D:$D),0)</f>
        <v>82</v>
      </c>
      <c r="H149">
        <f>IFERROR(_xlfn.XLOOKUP($B150,[1]Sheet1!$A:$A,[1]Sheet1!$E:$E),0)</f>
        <v>172</v>
      </c>
      <c r="I149">
        <v>29872</v>
      </c>
      <c r="J149">
        <v>21161</v>
      </c>
      <c r="K149">
        <v>9652</v>
      </c>
      <c r="L149">
        <v>4793</v>
      </c>
    </row>
    <row r="150" spans="1:12">
      <c r="A150" t="s">
        <v>22</v>
      </c>
      <c r="B150" t="s">
        <v>23</v>
      </c>
      <c r="C150" t="s">
        <v>24</v>
      </c>
      <c r="D150" t="s">
        <v>25</v>
      </c>
      <c r="E150" s="5">
        <f>IFERROR(_xlfn.XLOOKUP($B151,[1]Sheet1!$A:$A,[1]Sheet1!$B:$B),0)</f>
        <v>0</v>
      </c>
      <c r="F150" s="5">
        <f>IFERROR(_xlfn.XLOOKUP($B151,[1]Sheet1!$A:$A,[1]Sheet1!$C:$C),0)</f>
        <v>105</v>
      </c>
      <c r="G150">
        <f>IFERROR(_xlfn.XLOOKUP($B151,[1]Sheet1!$A:$A,[1]Sheet1!$D:$D),0)</f>
        <v>1</v>
      </c>
      <c r="H150">
        <f>IFERROR(_xlfn.XLOOKUP($B151,[1]Sheet1!$A:$A,[1]Sheet1!$E:$E),0)</f>
        <v>8</v>
      </c>
      <c r="I150">
        <v>9676</v>
      </c>
      <c r="J150">
        <v>33932</v>
      </c>
      <c r="K150">
        <v>53953</v>
      </c>
      <c r="L150">
        <v>13165</v>
      </c>
    </row>
    <row r="151" spans="1:12">
      <c r="A151" t="s">
        <v>593</v>
      </c>
      <c r="B151" t="s">
        <v>594</v>
      </c>
      <c r="C151" t="s">
        <v>553</v>
      </c>
      <c r="D151" t="s">
        <v>554</v>
      </c>
      <c r="E151" s="5">
        <f>IFERROR(_xlfn.XLOOKUP($B152,[1]Sheet1!$A:$A,[1]Sheet1!$B:$B),0)</f>
        <v>1</v>
      </c>
      <c r="F151" s="5">
        <f>IFERROR(_xlfn.XLOOKUP($B152,[1]Sheet1!$A:$A,[1]Sheet1!$C:$C),0)</f>
        <v>97</v>
      </c>
      <c r="G151">
        <f>IFERROR(_xlfn.XLOOKUP($B152,[1]Sheet1!$A:$A,[1]Sheet1!$D:$D),0)</f>
        <v>3</v>
      </c>
      <c r="H151">
        <f>IFERROR(_xlfn.XLOOKUP($B152,[1]Sheet1!$A:$A,[1]Sheet1!$E:$E),0)</f>
        <v>18</v>
      </c>
      <c r="I151">
        <v>8284</v>
      </c>
      <c r="J151">
        <v>20797</v>
      </c>
      <c r="K151">
        <v>11300</v>
      </c>
      <c r="L151">
        <v>19535</v>
      </c>
    </row>
    <row r="152" spans="1:12">
      <c r="A152" t="s">
        <v>543</v>
      </c>
      <c r="B152" t="s">
        <v>544</v>
      </c>
      <c r="C152" t="s">
        <v>24</v>
      </c>
      <c r="D152" t="s">
        <v>25</v>
      </c>
      <c r="E152" s="5">
        <f>IFERROR(_xlfn.XLOOKUP($B153,[1]Sheet1!$A:$A,[1]Sheet1!$B:$B),0)</f>
        <v>69</v>
      </c>
      <c r="F152" s="5">
        <f>IFERROR(_xlfn.XLOOKUP($B153,[1]Sheet1!$A:$A,[1]Sheet1!$C:$C),0)</f>
        <v>2</v>
      </c>
      <c r="G152">
        <f>IFERROR(_xlfn.XLOOKUP($B153,[1]Sheet1!$A:$A,[1]Sheet1!$D:$D),0)</f>
        <v>47</v>
      </c>
      <c r="H152">
        <f>IFERROR(_xlfn.XLOOKUP($B153,[1]Sheet1!$A:$A,[1]Sheet1!$E:$E),0)</f>
        <v>36</v>
      </c>
      <c r="I152">
        <v>38467</v>
      </c>
      <c r="J152">
        <v>60938</v>
      </c>
      <c r="K152">
        <v>55986</v>
      </c>
      <c r="L152">
        <v>17060</v>
      </c>
    </row>
    <row r="153" spans="1:12">
      <c r="A153" t="s">
        <v>499</v>
      </c>
      <c r="B153" t="s">
        <v>500</v>
      </c>
      <c r="C153" t="s">
        <v>14</v>
      </c>
      <c r="D153" t="s">
        <v>15</v>
      </c>
      <c r="E153" s="5">
        <f>IFERROR(_xlfn.XLOOKUP($B154,[1]Sheet1!$A:$A,[1]Sheet1!$B:$B),0)</f>
        <v>11</v>
      </c>
      <c r="F153" s="5">
        <f>IFERROR(_xlfn.XLOOKUP($B154,[1]Sheet1!$A:$A,[1]Sheet1!$C:$C),0)</f>
        <v>49</v>
      </c>
      <c r="G153">
        <f>IFERROR(_xlfn.XLOOKUP($B154,[1]Sheet1!$A:$A,[1]Sheet1!$D:$D),0)</f>
        <v>19</v>
      </c>
      <c r="H153">
        <f>IFERROR(_xlfn.XLOOKUP($B154,[1]Sheet1!$A:$A,[1]Sheet1!$E:$E),0)</f>
        <v>22</v>
      </c>
      <c r="I153">
        <v>9929</v>
      </c>
      <c r="J153">
        <v>28445</v>
      </c>
      <c r="K153">
        <v>20845</v>
      </c>
      <c r="L153">
        <v>6041</v>
      </c>
    </row>
    <row r="154" spans="1:12">
      <c r="A154" t="s">
        <v>595</v>
      </c>
      <c r="B154" t="s">
        <v>596</v>
      </c>
      <c r="C154" t="s">
        <v>553</v>
      </c>
      <c r="D154" t="s">
        <v>554</v>
      </c>
      <c r="E154" s="5">
        <f>IFERROR(_xlfn.XLOOKUP($B155,[1]Sheet1!$A:$A,[1]Sheet1!$B:$B),0)</f>
        <v>91</v>
      </c>
      <c r="F154" s="5">
        <f>IFERROR(_xlfn.XLOOKUP($B155,[1]Sheet1!$A:$A,[1]Sheet1!$C:$C),0)</f>
        <v>8</v>
      </c>
      <c r="G154">
        <f>IFERROR(_xlfn.XLOOKUP($B155,[1]Sheet1!$A:$A,[1]Sheet1!$D:$D),0)</f>
        <v>128</v>
      </c>
      <c r="H154">
        <f>IFERROR(_xlfn.XLOOKUP($B155,[1]Sheet1!$A:$A,[1]Sheet1!$E:$E),0)</f>
        <v>118</v>
      </c>
      <c r="I154">
        <v>2726</v>
      </c>
      <c r="J154">
        <v>10494</v>
      </c>
      <c r="K154">
        <v>20194</v>
      </c>
      <c r="L154">
        <v>69465</v>
      </c>
    </row>
    <row r="155" spans="1:12">
      <c r="A155" t="s">
        <v>289</v>
      </c>
      <c r="B155" t="s">
        <v>290</v>
      </c>
      <c r="C155" t="s">
        <v>14</v>
      </c>
      <c r="D155" t="s">
        <v>15</v>
      </c>
      <c r="E155" s="5">
        <f>IFERROR(_xlfn.XLOOKUP($B156,[1]Sheet1!$A:$A,[1]Sheet1!$B:$B),0)</f>
        <v>16</v>
      </c>
      <c r="F155" s="5">
        <f>IFERROR(_xlfn.XLOOKUP($B156,[1]Sheet1!$A:$A,[1]Sheet1!$C:$C),0)</f>
        <v>3</v>
      </c>
      <c r="G155">
        <f>IFERROR(_xlfn.XLOOKUP($B156,[1]Sheet1!$A:$A,[1]Sheet1!$D:$D),0)</f>
        <v>48</v>
      </c>
      <c r="H155">
        <f>IFERROR(_xlfn.XLOOKUP($B156,[1]Sheet1!$A:$A,[1]Sheet1!$E:$E),0)</f>
        <v>19</v>
      </c>
      <c r="I155">
        <v>11657</v>
      </c>
      <c r="J155">
        <v>22823</v>
      </c>
      <c r="K155">
        <v>15302</v>
      </c>
      <c r="L155">
        <v>6549</v>
      </c>
    </row>
    <row r="156" spans="1:12">
      <c r="A156" t="s">
        <v>545</v>
      </c>
      <c r="B156" t="s">
        <v>546</v>
      </c>
      <c r="C156" t="s">
        <v>24</v>
      </c>
      <c r="D156" t="s">
        <v>25</v>
      </c>
      <c r="E156" s="5">
        <f>IFERROR(_xlfn.XLOOKUP($B157,[1]Sheet1!$A:$A,[1]Sheet1!$B:$B),0)</f>
        <v>0</v>
      </c>
      <c r="F156" s="5">
        <f>IFERROR(_xlfn.XLOOKUP($B157,[1]Sheet1!$A:$A,[1]Sheet1!$C:$C),0)</f>
        <v>192</v>
      </c>
      <c r="G156">
        <f>IFERROR(_xlfn.XLOOKUP($B157,[1]Sheet1!$A:$A,[1]Sheet1!$D:$D),0)</f>
        <v>12</v>
      </c>
      <c r="H156">
        <f>IFERROR(_xlfn.XLOOKUP($B157,[1]Sheet1!$A:$A,[1]Sheet1!$E:$E),0)</f>
        <v>27</v>
      </c>
      <c r="I156">
        <v>52788</v>
      </c>
      <c r="J156">
        <v>127950</v>
      </c>
      <c r="K156">
        <v>85263</v>
      </c>
      <c r="L156">
        <v>59601</v>
      </c>
    </row>
    <row r="157" spans="1:12">
      <c r="A157" t="s">
        <v>38</v>
      </c>
      <c r="B157" t="s">
        <v>39</v>
      </c>
      <c r="C157" t="s">
        <v>36</v>
      </c>
      <c r="D157" t="s">
        <v>37</v>
      </c>
      <c r="E157" s="5">
        <f>IFERROR(_xlfn.XLOOKUP($B158,[1]Sheet1!$A:$A,[1]Sheet1!$B:$B),0)</f>
        <v>22</v>
      </c>
      <c r="F157" s="5">
        <f>IFERROR(_xlfn.XLOOKUP($B158,[1]Sheet1!$A:$A,[1]Sheet1!$C:$C),0)</f>
        <v>17</v>
      </c>
      <c r="G157">
        <f>IFERROR(_xlfn.XLOOKUP($B158,[1]Sheet1!$A:$A,[1]Sheet1!$D:$D),0)</f>
        <v>46</v>
      </c>
      <c r="H157">
        <f>IFERROR(_xlfn.XLOOKUP($B158,[1]Sheet1!$A:$A,[1]Sheet1!$E:$E),0)</f>
        <v>34</v>
      </c>
      <c r="I157">
        <v>14467</v>
      </c>
      <c r="J157">
        <v>46365</v>
      </c>
      <c r="K157">
        <v>37181</v>
      </c>
      <c r="L157">
        <v>22678</v>
      </c>
    </row>
    <row r="158" spans="1:12">
      <c r="A158" t="s">
        <v>182</v>
      </c>
      <c r="B158" t="s">
        <v>183</v>
      </c>
      <c r="C158" t="s">
        <v>80</v>
      </c>
      <c r="D158" t="s">
        <v>81</v>
      </c>
      <c r="E158" s="5">
        <f>IFERROR(_xlfn.XLOOKUP($B159,[1]Sheet1!$A:$A,[1]Sheet1!$B:$B),0)</f>
        <v>126</v>
      </c>
      <c r="F158" s="5">
        <f>IFERROR(_xlfn.XLOOKUP($B159,[1]Sheet1!$A:$A,[1]Sheet1!$C:$C),0)</f>
        <v>98</v>
      </c>
      <c r="G158">
        <f>IFERROR(_xlfn.XLOOKUP($B159,[1]Sheet1!$A:$A,[1]Sheet1!$D:$D),0)</f>
        <v>211</v>
      </c>
      <c r="H158">
        <f>IFERROR(_xlfn.XLOOKUP($B159,[1]Sheet1!$A:$A,[1]Sheet1!$E:$E),0)</f>
        <v>190</v>
      </c>
      <c r="I158">
        <v>15290</v>
      </c>
      <c r="J158">
        <v>11924</v>
      </c>
      <c r="K158">
        <v>7923</v>
      </c>
      <c r="L158">
        <v>6161</v>
      </c>
    </row>
    <row r="159" spans="1:12">
      <c r="A159" t="s">
        <v>597</v>
      </c>
      <c r="B159" t="s">
        <v>598</v>
      </c>
      <c r="C159" t="s">
        <v>553</v>
      </c>
      <c r="D159" t="s">
        <v>554</v>
      </c>
      <c r="E159" s="5">
        <f>IFERROR(_xlfn.XLOOKUP($B160,[1]Sheet1!$A:$A,[1]Sheet1!$B:$B),0)</f>
        <v>17</v>
      </c>
      <c r="F159" s="5">
        <f>IFERROR(_xlfn.XLOOKUP($B160,[1]Sheet1!$A:$A,[1]Sheet1!$C:$C),0)</f>
        <v>16</v>
      </c>
      <c r="G159">
        <f>IFERROR(_xlfn.XLOOKUP($B160,[1]Sheet1!$A:$A,[1]Sheet1!$D:$D),0)</f>
        <v>53</v>
      </c>
      <c r="H159">
        <f>IFERROR(_xlfn.XLOOKUP($B160,[1]Sheet1!$A:$A,[1]Sheet1!$E:$E),0)</f>
        <v>71</v>
      </c>
      <c r="I159">
        <v>3682</v>
      </c>
      <c r="J159">
        <v>15884</v>
      </c>
      <c r="K159">
        <v>32070</v>
      </c>
      <c r="L159">
        <v>47837</v>
      </c>
    </row>
    <row r="160" spans="1:12">
      <c r="A160" t="s">
        <v>395</v>
      </c>
      <c r="B160" t="s">
        <v>396</v>
      </c>
      <c r="C160" t="s">
        <v>46</v>
      </c>
      <c r="D160" t="s">
        <v>47</v>
      </c>
      <c r="E160" s="5">
        <f>IFERROR(_xlfn.XLOOKUP($B161,[1]Sheet1!$A:$A,[1]Sheet1!$B:$B),0)</f>
        <v>40</v>
      </c>
      <c r="F160" s="5">
        <f>IFERROR(_xlfn.XLOOKUP($B161,[1]Sheet1!$A:$A,[1]Sheet1!$C:$C),0)</f>
        <v>22</v>
      </c>
      <c r="G160">
        <f>IFERROR(_xlfn.XLOOKUP($B161,[1]Sheet1!$A:$A,[1]Sheet1!$D:$D),0)</f>
        <v>33</v>
      </c>
      <c r="H160">
        <f>IFERROR(_xlfn.XLOOKUP($B161,[1]Sheet1!$A:$A,[1]Sheet1!$E:$E),0)</f>
        <v>22</v>
      </c>
      <c r="I160">
        <v>17278</v>
      </c>
      <c r="J160">
        <v>16135</v>
      </c>
      <c r="K160">
        <v>6477</v>
      </c>
      <c r="L160">
        <v>4596</v>
      </c>
    </row>
    <row r="161" spans="1:12">
      <c r="A161" t="s">
        <v>323</v>
      </c>
      <c r="B161" t="s">
        <v>324</v>
      </c>
      <c r="C161" t="s">
        <v>36</v>
      </c>
      <c r="D161" t="s">
        <v>37</v>
      </c>
      <c r="E161" s="5">
        <f>IFERROR(_xlfn.XLOOKUP($B162,[1]Sheet1!$A:$A,[1]Sheet1!$B:$B),0)</f>
        <v>2</v>
      </c>
      <c r="F161" s="5">
        <f>IFERROR(_xlfn.XLOOKUP($B162,[1]Sheet1!$A:$A,[1]Sheet1!$C:$C),0)</f>
        <v>95</v>
      </c>
      <c r="G161">
        <f>IFERROR(_xlfn.XLOOKUP($B162,[1]Sheet1!$A:$A,[1]Sheet1!$D:$D),0)</f>
        <v>11</v>
      </c>
      <c r="H161">
        <f>IFERROR(_xlfn.XLOOKUP($B162,[1]Sheet1!$A:$A,[1]Sheet1!$E:$E),0)</f>
        <v>57</v>
      </c>
      <c r="I161">
        <v>8452</v>
      </c>
      <c r="J161">
        <v>13061</v>
      </c>
      <c r="K161">
        <v>12602</v>
      </c>
      <c r="L161">
        <v>6783</v>
      </c>
    </row>
    <row r="162" spans="1:12">
      <c r="A162" t="s">
        <v>501</v>
      </c>
      <c r="B162" t="s">
        <v>502</v>
      </c>
      <c r="C162" t="s">
        <v>14</v>
      </c>
      <c r="D162" t="s">
        <v>15</v>
      </c>
      <c r="E162" s="5">
        <f>IFERROR(_xlfn.XLOOKUP($B163,[1]Sheet1!$A:$A,[1]Sheet1!$B:$B),0)</f>
        <v>36</v>
      </c>
      <c r="F162" s="5">
        <f>IFERROR(_xlfn.XLOOKUP($B163,[1]Sheet1!$A:$A,[1]Sheet1!$C:$C),0)</f>
        <v>19</v>
      </c>
      <c r="G162">
        <f>IFERROR(_xlfn.XLOOKUP($B163,[1]Sheet1!$A:$A,[1]Sheet1!$D:$D),0)</f>
        <v>33</v>
      </c>
      <c r="H162">
        <f>IFERROR(_xlfn.XLOOKUP($B163,[1]Sheet1!$A:$A,[1]Sheet1!$E:$E),0)</f>
        <v>17</v>
      </c>
      <c r="I162">
        <v>17047</v>
      </c>
      <c r="J162">
        <v>63639</v>
      </c>
      <c r="K162">
        <v>78552</v>
      </c>
      <c r="L162">
        <v>35589</v>
      </c>
    </row>
    <row r="163" spans="1:12">
      <c r="A163" t="s">
        <v>72</v>
      </c>
      <c r="B163" t="s">
        <v>73</v>
      </c>
      <c r="C163" t="s">
        <v>70</v>
      </c>
      <c r="D163" t="s">
        <v>71</v>
      </c>
      <c r="E163" s="5">
        <f>IFERROR(_xlfn.XLOOKUP($B164,[1]Sheet1!$A:$A,[1]Sheet1!$B:$B),0)</f>
        <v>12</v>
      </c>
      <c r="F163" s="5">
        <f>IFERROR(_xlfn.XLOOKUP($B164,[1]Sheet1!$A:$A,[1]Sheet1!$C:$C),0)</f>
        <v>13</v>
      </c>
      <c r="G163">
        <f>IFERROR(_xlfn.XLOOKUP($B164,[1]Sheet1!$A:$A,[1]Sheet1!$D:$D),0)</f>
        <v>22</v>
      </c>
      <c r="H163">
        <f>IFERROR(_xlfn.XLOOKUP($B164,[1]Sheet1!$A:$A,[1]Sheet1!$E:$E),0)</f>
        <v>25</v>
      </c>
      <c r="I163">
        <v>10158</v>
      </c>
      <c r="J163">
        <v>31781</v>
      </c>
      <c r="K163">
        <v>17356</v>
      </c>
      <c r="L163">
        <v>16209</v>
      </c>
    </row>
    <row r="164" spans="1:12">
      <c r="A164" t="s">
        <v>268</v>
      </c>
      <c r="B164" t="s">
        <v>269</v>
      </c>
      <c r="C164" t="s">
        <v>80</v>
      </c>
      <c r="D164" t="s">
        <v>81</v>
      </c>
      <c r="E164" s="5">
        <f>IFERROR(_xlfn.XLOOKUP($B165,[1]Sheet1!$A:$A,[1]Sheet1!$B:$B),0)</f>
        <v>20</v>
      </c>
      <c r="F164" s="5">
        <f>IFERROR(_xlfn.XLOOKUP($B165,[1]Sheet1!$A:$A,[1]Sheet1!$C:$C),0)</f>
        <v>72</v>
      </c>
      <c r="G164">
        <f>IFERROR(_xlfn.XLOOKUP($B165,[1]Sheet1!$A:$A,[1]Sheet1!$D:$D),0)</f>
        <v>76</v>
      </c>
      <c r="H164">
        <f>IFERROR(_xlfn.XLOOKUP($B165,[1]Sheet1!$A:$A,[1]Sheet1!$E:$E),0)</f>
        <v>122</v>
      </c>
      <c r="I164">
        <v>18444</v>
      </c>
      <c r="J164">
        <v>23687</v>
      </c>
      <c r="K164">
        <v>15768</v>
      </c>
      <c r="L164">
        <v>10331</v>
      </c>
    </row>
    <row r="165" spans="1:12">
      <c r="A165" t="s">
        <v>204</v>
      </c>
      <c r="B165" t="s">
        <v>205</v>
      </c>
      <c r="C165" t="s">
        <v>70</v>
      </c>
      <c r="D165" t="s">
        <v>71</v>
      </c>
      <c r="E165" s="5">
        <f>IFERROR(_xlfn.XLOOKUP($B166,[1]Sheet1!$A:$A,[1]Sheet1!$B:$B),0)</f>
        <v>16</v>
      </c>
      <c r="F165" s="5">
        <f>IFERROR(_xlfn.XLOOKUP($B166,[1]Sheet1!$A:$A,[1]Sheet1!$C:$C),0)</f>
        <v>18</v>
      </c>
      <c r="G165">
        <f>IFERROR(_xlfn.XLOOKUP($B166,[1]Sheet1!$A:$A,[1]Sheet1!$D:$D),0)</f>
        <v>35</v>
      </c>
      <c r="H165">
        <f>IFERROR(_xlfn.XLOOKUP($B166,[1]Sheet1!$A:$A,[1]Sheet1!$E:$E),0)</f>
        <v>23</v>
      </c>
      <c r="I165">
        <v>12543</v>
      </c>
      <c r="J165">
        <v>8492</v>
      </c>
      <c r="K165">
        <v>4065</v>
      </c>
      <c r="L165">
        <v>1954</v>
      </c>
    </row>
    <row r="166" spans="1:12">
      <c r="A166" t="s">
        <v>461</v>
      </c>
      <c r="B166" t="s">
        <v>462</v>
      </c>
      <c r="C166" t="s">
        <v>46</v>
      </c>
      <c r="D166" t="s">
        <v>47</v>
      </c>
      <c r="E166" s="5">
        <f>IFERROR(_xlfn.XLOOKUP($B167,[1]Sheet1!$A:$A,[1]Sheet1!$B:$B),0)</f>
        <v>44</v>
      </c>
      <c r="F166" s="5">
        <f>IFERROR(_xlfn.XLOOKUP($B167,[1]Sheet1!$A:$A,[1]Sheet1!$C:$C),0)</f>
        <v>26</v>
      </c>
      <c r="G166">
        <f>IFERROR(_xlfn.XLOOKUP($B167,[1]Sheet1!$A:$A,[1]Sheet1!$D:$D),0)</f>
        <v>54</v>
      </c>
      <c r="H166">
        <f>IFERROR(_xlfn.XLOOKUP($B167,[1]Sheet1!$A:$A,[1]Sheet1!$E:$E),0)</f>
        <v>35</v>
      </c>
      <c r="I166">
        <v>15441</v>
      </c>
      <c r="J166">
        <v>10869</v>
      </c>
      <c r="K166">
        <v>3891</v>
      </c>
      <c r="L166">
        <v>2731</v>
      </c>
    </row>
    <row r="167" spans="1:12">
      <c r="A167" t="s">
        <v>483</v>
      </c>
      <c r="B167" t="s">
        <v>484</v>
      </c>
      <c r="C167" t="s">
        <v>14</v>
      </c>
      <c r="D167" t="s">
        <v>15</v>
      </c>
      <c r="E167" s="5">
        <f>IFERROR(_xlfn.XLOOKUP($B168,[1]Sheet1!$A:$A,[1]Sheet1!$B:$B),0)</f>
        <v>28</v>
      </c>
      <c r="F167" s="5">
        <f>IFERROR(_xlfn.XLOOKUP($B168,[1]Sheet1!$A:$A,[1]Sheet1!$C:$C),0)</f>
        <v>3</v>
      </c>
      <c r="G167">
        <f>IFERROR(_xlfn.XLOOKUP($B168,[1]Sheet1!$A:$A,[1]Sheet1!$D:$D),0)</f>
        <v>18</v>
      </c>
      <c r="H167">
        <f>IFERROR(_xlfn.XLOOKUP($B168,[1]Sheet1!$A:$A,[1]Sheet1!$E:$E),0)</f>
        <v>2</v>
      </c>
      <c r="I167">
        <v>11603</v>
      </c>
      <c r="J167">
        <v>68528</v>
      </c>
      <c r="K167">
        <v>60020</v>
      </c>
      <c r="L167">
        <v>60411</v>
      </c>
    </row>
    <row r="168" spans="1:12">
      <c r="A168" t="s">
        <v>369</v>
      </c>
      <c r="B168" t="s">
        <v>370</v>
      </c>
      <c r="C168" t="s">
        <v>36</v>
      </c>
      <c r="D168" t="s">
        <v>37</v>
      </c>
      <c r="E168" s="5">
        <f>IFERROR(_xlfn.XLOOKUP($B169,[1]Sheet1!$A:$A,[1]Sheet1!$B:$B),0)</f>
        <v>27</v>
      </c>
      <c r="F168" s="5">
        <f>IFERROR(_xlfn.XLOOKUP($B169,[1]Sheet1!$A:$A,[1]Sheet1!$C:$C),0)</f>
        <v>3</v>
      </c>
      <c r="G168">
        <f>IFERROR(_xlfn.XLOOKUP($B169,[1]Sheet1!$A:$A,[1]Sheet1!$D:$D),0)</f>
        <v>22</v>
      </c>
      <c r="H168">
        <f>IFERROR(_xlfn.XLOOKUP($B169,[1]Sheet1!$A:$A,[1]Sheet1!$E:$E),0)</f>
        <v>13</v>
      </c>
      <c r="I168">
        <v>14594</v>
      </c>
      <c r="J168">
        <v>20776</v>
      </c>
      <c r="K168">
        <v>8028</v>
      </c>
      <c r="L168">
        <v>3592</v>
      </c>
    </row>
    <row r="169" spans="1:12">
      <c r="A169" t="s">
        <v>78</v>
      </c>
      <c r="B169" t="s">
        <v>79</v>
      </c>
      <c r="C169" t="s">
        <v>80</v>
      </c>
      <c r="D169" t="s">
        <v>81</v>
      </c>
      <c r="E169" s="5">
        <f>IFERROR(_xlfn.XLOOKUP($B170,[1]Sheet1!$A:$A,[1]Sheet1!$B:$B),0)</f>
        <v>17</v>
      </c>
      <c r="F169" s="5">
        <f>IFERROR(_xlfn.XLOOKUP($B170,[1]Sheet1!$A:$A,[1]Sheet1!$C:$C),0)</f>
        <v>136</v>
      </c>
      <c r="G169">
        <f>IFERROR(_xlfn.XLOOKUP($B170,[1]Sheet1!$A:$A,[1]Sheet1!$D:$D),0)</f>
        <v>79</v>
      </c>
      <c r="H169">
        <f>IFERROR(_xlfn.XLOOKUP($B170,[1]Sheet1!$A:$A,[1]Sheet1!$E:$E),0)</f>
        <v>102</v>
      </c>
      <c r="I169">
        <v>16046</v>
      </c>
      <c r="J169">
        <v>34408</v>
      </c>
      <c r="K169">
        <v>41983</v>
      </c>
      <c r="L169">
        <v>14768</v>
      </c>
    </row>
    <row r="170" spans="1:12">
      <c r="A170" t="s">
        <v>313</v>
      </c>
      <c r="B170" t="s">
        <v>314</v>
      </c>
      <c r="C170" t="s">
        <v>36</v>
      </c>
      <c r="D170" t="s">
        <v>37</v>
      </c>
      <c r="E170" s="5">
        <f>IFERROR(_xlfn.XLOOKUP($B171,[1]Sheet1!$A:$A,[1]Sheet1!$B:$B),0)</f>
        <v>0</v>
      </c>
      <c r="F170" s="5">
        <f>IFERROR(_xlfn.XLOOKUP($B171,[1]Sheet1!$A:$A,[1]Sheet1!$C:$C),0)</f>
        <v>0</v>
      </c>
      <c r="G170">
        <f>IFERROR(_xlfn.XLOOKUP($B171,[1]Sheet1!$A:$A,[1]Sheet1!$D:$D),0)</f>
        <v>0</v>
      </c>
      <c r="H170">
        <f>IFERROR(_xlfn.XLOOKUP($B171,[1]Sheet1!$A:$A,[1]Sheet1!$E:$E),0)</f>
        <v>0</v>
      </c>
      <c r="I170">
        <v>9346</v>
      </c>
      <c r="J170">
        <v>8216</v>
      </c>
      <c r="K170">
        <v>3349</v>
      </c>
      <c r="L170">
        <v>1119</v>
      </c>
    </row>
    <row r="171" spans="1:12">
      <c r="A171" t="s">
        <v>385</v>
      </c>
      <c r="B171" t="s">
        <v>386</v>
      </c>
      <c r="C171" t="s">
        <v>54</v>
      </c>
      <c r="D171" t="s">
        <v>55</v>
      </c>
      <c r="E171" s="5">
        <f>IFERROR(_xlfn.XLOOKUP($B172,[1]Sheet1!$A:$A,[1]Sheet1!$B:$B),0)</f>
        <v>39</v>
      </c>
      <c r="F171" s="5">
        <f>IFERROR(_xlfn.XLOOKUP($B172,[1]Sheet1!$A:$A,[1]Sheet1!$C:$C),0)</f>
        <v>4</v>
      </c>
      <c r="G171">
        <f>IFERROR(_xlfn.XLOOKUP($B172,[1]Sheet1!$A:$A,[1]Sheet1!$D:$D),0)</f>
        <v>36</v>
      </c>
      <c r="H171">
        <f>IFERROR(_xlfn.XLOOKUP($B172,[1]Sheet1!$A:$A,[1]Sheet1!$E:$E),0)</f>
        <v>20</v>
      </c>
      <c r="I171">
        <v>16137</v>
      </c>
      <c r="J171">
        <v>16078</v>
      </c>
      <c r="K171">
        <v>11918</v>
      </c>
      <c r="L171">
        <v>4033</v>
      </c>
    </row>
    <row r="172" spans="1:12">
      <c r="A172" t="s">
        <v>663</v>
      </c>
      <c r="B172" t="s">
        <v>664</v>
      </c>
      <c r="C172" t="s">
        <v>621</v>
      </c>
      <c r="D172" t="s">
        <v>622</v>
      </c>
      <c r="E172" s="5">
        <f>IFERROR(_xlfn.XLOOKUP($B173,[1]Sheet1!$A:$A,[1]Sheet1!$B:$B),0)</f>
        <v>28</v>
      </c>
      <c r="F172" s="5">
        <f>IFERROR(_xlfn.XLOOKUP($B173,[1]Sheet1!$A:$A,[1]Sheet1!$C:$C),0)</f>
        <v>34</v>
      </c>
      <c r="G172">
        <f>IFERROR(_xlfn.XLOOKUP($B173,[1]Sheet1!$A:$A,[1]Sheet1!$D:$D),0)</f>
        <v>61</v>
      </c>
      <c r="H172">
        <f>IFERROR(_xlfn.XLOOKUP($B173,[1]Sheet1!$A:$A,[1]Sheet1!$E:$E),0)</f>
        <v>104</v>
      </c>
      <c r="I172">
        <v>4329</v>
      </c>
      <c r="J172">
        <v>7317</v>
      </c>
      <c r="K172">
        <v>12197</v>
      </c>
      <c r="L172">
        <v>1414</v>
      </c>
    </row>
    <row r="173" spans="1:12">
      <c r="A173" t="s">
        <v>599</v>
      </c>
      <c r="B173" t="s">
        <v>600</v>
      </c>
      <c r="C173" t="s">
        <v>553</v>
      </c>
      <c r="D173" t="s">
        <v>554</v>
      </c>
      <c r="E173" s="5">
        <f>IFERROR(_xlfn.XLOOKUP($B174,[1]Sheet1!$A:$A,[1]Sheet1!$B:$B),0)</f>
        <v>33</v>
      </c>
      <c r="F173" s="5">
        <f>IFERROR(_xlfn.XLOOKUP($B174,[1]Sheet1!$A:$A,[1]Sheet1!$C:$C),0)</f>
        <v>3</v>
      </c>
      <c r="G173">
        <f>IFERROR(_xlfn.XLOOKUP($B174,[1]Sheet1!$A:$A,[1]Sheet1!$D:$D),0)</f>
        <v>13</v>
      </c>
      <c r="H173">
        <f>IFERROR(_xlfn.XLOOKUP($B174,[1]Sheet1!$A:$A,[1]Sheet1!$E:$E),0)</f>
        <v>7</v>
      </c>
      <c r="I173">
        <v>4659</v>
      </c>
      <c r="J173">
        <v>15514</v>
      </c>
      <c r="K173">
        <v>29176</v>
      </c>
      <c r="L173">
        <v>23191</v>
      </c>
    </row>
    <row r="174" spans="1:12">
      <c r="A174" t="s">
        <v>166</v>
      </c>
      <c r="B174" t="s">
        <v>167</v>
      </c>
      <c r="C174" t="s">
        <v>54</v>
      </c>
      <c r="D174" t="s">
        <v>55</v>
      </c>
      <c r="E174" s="5">
        <f>IFERROR(_xlfn.XLOOKUP($B175,[1]Sheet1!$A:$A,[1]Sheet1!$B:$B),0)</f>
        <v>8</v>
      </c>
      <c r="F174" s="5">
        <f>IFERROR(_xlfn.XLOOKUP($B175,[1]Sheet1!$A:$A,[1]Sheet1!$C:$C),0)</f>
        <v>2</v>
      </c>
      <c r="G174">
        <f>IFERROR(_xlfn.XLOOKUP($B175,[1]Sheet1!$A:$A,[1]Sheet1!$D:$D),0)</f>
        <v>7</v>
      </c>
      <c r="H174">
        <f>IFERROR(_xlfn.XLOOKUP($B175,[1]Sheet1!$A:$A,[1]Sheet1!$E:$E),0)</f>
        <v>18</v>
      </c>
      <c r="I174">
        <v>13703</v>
      </c>
      <c r="J174">
        <v>10433</v>
      </c>
      <c r="K174">
        <v>7870</v>
      </c>
      <c r="L174">
        <v>2321</v>
      </c>
    </row>
    <row r="175" spans="1:12">
      <c r="A175" t="s">
        <v>411</v>
      </c>
      <c r="B175" t="s">
        <v>412</v>
      </c>
      <c r="C175" t="s">
        <v>70</v>
      </c>
      <c r="D175" t="s">
        <v>71</v>
      </c>
      <c r="E175" s="5">
        <f>IFERROR(_xlfn.XLOOKUP($B176,[1]Sheet1!$A:$A,[1]Sheet1!$B:$B),0)</f>
        <v>5</v>
      </c>
      <c r="F175" s="5">
        <f>IFERROR(_xlfn.XLOOKUP($B176,[1]Sheet1!$A:$A,[1]Sheet1!$C:$C),0)</f>
        <v>53</v>
      </c>
      <c r="G175">
        <f>IFERROR(_xlfn.XLOOKUP($B176,[1]Sheet1!$A:$A,[1]Sheet1!$D:$D),0)</f>
        <v>16</v>
      </c>
      <c r="H175">
        <f>IFERROR(_xlfn.XLOOKUP($B176,[1]Sheet1!$A:$A,[1]Sheet1!$E:$E),0)</f>
        <v>36</v>
      </c>
      <c r="I175">
        <v>20822</v>
      </c>
      <c r="J175">
        <v>14437</v>
      </c>
      <c r="K175">
        <v>6041</v>
      </c>
      <c r="L175">
        <v>2099</v>
      </c>
    </row>
    <row r="176" spans="1:12">
      <c r="A176" t="s">
        <v>455</v>
      </c>
      <c r="B176" t="s">
        <v>456</v>
      </c>
      <c r="C176" t="s">
        <v>80</v>
      </c>
      <c r="D176" t="s">
        <v>81</v>
      </c>
      <c r="E176" s="5">
        <f>IFERROR(_xlfn.XLOOKUP($B177,[1]Sheet1!$A:$A,[1]Sheet1!$B:$B),0)</f>
        <v>27</v>
      </c>
      <c r="F176" s="5">
        <f>IFERROR(_xlfn.XLOOKUP($B177,[1]Sheet1!$A:$A,[1]Sheet1!$C:$C),0)</f>
        <v>5</v>
      </c>
      <c r="G176">
        <f>IFERROR(_xlfn.XLOOKUP($B177,[1]Sheet1!$A:$A,[1]Sheet1!$D:$D),0)</f>
        <v>22</v>
      </c>
      <c r="H176">
        <f>IFERROR(_xlfn.XLOOKUP($B177,[1]Sheet1!$A:$A,[1]Sheet1!$E:$E),0)</f>
        <v>14</v>
      </c>
      <c r="I176">
        <v>21657</v>
      </c>
      <c r="J176">
        <v>18994</v>
      </c>
      <c r="K176">
        <v>9960</v>
      </c>
      <c r="L176">
        <v>9829</v>
      </c>
    </row>
    <row r="177" spans="1:12">
      <c r="A177" t="s">
        <v>4</v>
      </c>
      <c r="B177" t="s">
        <v>5</v>
      </c>
      <c r="C177" t="s">
        <v>2</v>
      </c>
      <c r="D177" t="s">
        <v>3</v>
      </c>
      <c r="E177" s="5">
        <f>IFERROR(_xlfn.XLOOKUP($B178,[1]Sheet1!$A:$A,[1]Sheet1!$B:$B),0)</f>
        <v>49</v>
      </c>
      <c r="F177" s="5">
        <f>IFERROR(_xlfn.XLOOKUP($B178,[1]Sheet1!$A:$A,[1]Sheet1!$C:$C),0)</f>
        <v>0</v>
      </c>
      <c r="G177">
        <f>IFERROR(_xlfn.XLOOKUP($B178,[1]Sheet1!$A:$A,[1]Sheet1!$D:$D),0)</f>
        <v>27</v>
      </c>
      <c r="H177">
        <f>IFERROR(_xlfn.XLOOKUP($B178,[1]Sheet1!$A:$A,[1]Sheet1!$E:$E),0)</f>
        <v>23</v>
      </c>
      <c r="I177">
        <v>10389</v>
      </c>
      <c r="J177">
        <v>25485</v>
      </c>
      <c r="K177">
        <v>16768</v>
      </c>
      <c r="L177">
        <v>6457</v>
      </c>
    </row>
    <row r="178" spans="1:12">
      <c r="A178" t="s">
        <v>94</v>
      </c>
      <c r="B178" t="s">
        <v>95</v>
      </c>
      <c r="C178" t="s">
        <v>80</v>
      </c>
      <c r="D178" t="s">
        <v>81</v>
      </c>
      <c r="E178" s="5">
        <f>IFERROR(_xlfn.XLOOKUP($B179,[1]Sheet1!$A:$A,[1]Sheet1!$B:$B),0)</f>
        <v>44</v>
      </c>
      <c r="F178" s="5">
        <f>IFERROR(_xlfn.XLOOKUP($B179,[1]Sheet1!$A:$A,[1]Sheet1!$C:$C),0)</f>
        <v>25</v>
      </c>
      <c r="G178">
        <f>IFERROR(_xlfn.XLOOKUP($B179,[1]Sheet1!$A:$A,[1]Sheet1!$D:$D),0)</f>
        <v>53</v>
      </c>
      <c r="H178">
        <f>IFERROR(_xlfn.XLOOKUP($B179,[1]Sheet1!$A:$A,[1]Sheet1!$E:$E),0)</f>
        <v>16</v>
      </c>
      <c r="I178">
        <v>31671</v>
      </c>
      <c r="J178">
        <v>33130</v>
      </c>
      <c r="K178">
        <v>27738</v>
      </c>
      <c r="L178">
        <v>18825</v>
      </c>
    </row>
    <row r="179" spans="1:12">
      <c r="A179" t="s">
        <v>419</v>
      </c>
      <c r="B179" t="s">
        <v>420</v>
      </c>
      <c r="C179" t="s">
        <v>80</v>
      </c>
      <c r="D179" t="s">
        <v>81</v>
      </c>
      <c r="E179" s="5">
        <f>IFERROR(_xlfn.XLOOKUP($B180,[1]Sheet1!$A:$A,[1]Sheet1!$B:$B),0)</f>
        <v>13</v>
      </c>
      <c r="F179" s="5">
        <f>IFERROR(_xlfn.XLOOKUP($B180,[1]Sheet1!$A:$A,[1]Sheet1!$C:$C),0)</f>
        <v>6</v>
      </c>
      <c r="G179">
        <f>IFERROR(_xlfn.XLOOKUP($B180,[1]Sheet1!$A:$A,[1]Sheet1!$D:$D),0)</f>
        <v>45</v>
      </c>
      <c r="H179">
        <f>IFERROR(_xlfn.XLOOKUP($B180,[1]Sheet1!$A:$A,[1]Sheet1!$E:$E),0)</f>
        <v>44</v>
      </c>
      <c r="I179">
        <v>13978</v>
      </c>
      <c r="J179">
        <v>10417</v>
      </c>
      <c r="K179">
        <v>4445</v>
      </c>
      <c r="L179">
        <v>5980</v>
      </c>
    </row>
    <row r="180" spans="1:12">
      <c r="A180" t="s">
        <v>657</v>
      </c>
      <c r="B180" t="s">
        <v>658</v>
      </c>
      <c r="C180" t="s">
        <v>621</v>
      </c>
      <c r="D180" t="s">
        <v>622</v>
      </c>
      <c r="E180" s="5">
        <f>IFERROR(_xlfn.XLOOKUP($B181,[1]Sheet1!$A:$A,[1]Sheet1!$B:$B),0)</f>
        <v>72</v>
      </c>
      <c r="F180" s="5">
        <f>IFERROR(_xlfn.XLOOKUP($B181,[1]Sheet1!$A:$A,[1]Sheet1!$C:$C),0)</f>
        <v>71</v>
      </c>
      <c r="G180">
        <f>IFERROR(_xlfn.XLOOKUP($B181,[1]Sheet1!$A:$A,[1]Sheet1!$D:$D),0)</f>
        <v>71</v>
      </c>
      <c r="H180">
        <f>IFERROR(_xlfn.XLOOKUP($B181,[1]Sheet1!$A:$A,[1]Sheet1!$E:$E),0)</f>
        <v>71</v>
      </c>
      <c r="I180">
        <v>18030</v>
      </c>
      <c r="J180">
        <v>11747</v>
      </c>
      <c r="K180">
        <v>6829</v>
      </c>
      <c r="L180">
        <v>3091</v>
      </c>
    </row>
    <row r="181" spans="1:12">
      <c r="A181" t="s">
        <v>641</v>
      </c>
      <c r="B181" t="s">
        <v>642</v>
      </c>
      <c r="C181" t="s">
        <v>621</v>
      </c>
      <c r="D181" t="s">
        <v>622</v>
      </c>
      <c r="E181" s="5">
        <f>IFERROR(_xlfn.XLOOKUP($B182,[1]Sheet1!$A:$A,[1]Sheet1!$B:$B),0)</f>
        <v>20</v>
      </c>
      <c r="F181" s="5">
        <f>IFERROR(_xlfn.XLOOKUP($B182,[1]Sheet1!$A:$A,[1]Sheet1!$C:$C),0)</f>
        <v>7</v>
      </c>
      <c r="G181">
        <f>IFERROR(_xlfn.XLOOKUP($B182,[1]Sheet1!$A:$A,[1]Sheet1!$D:$D),0)</f>
        <v>13</v>
      </c>
      <c r="H181">
        <f>IFERROR(_xlfn.XLOOKUP($B182,[1]Sheet1!$A:$A,[1]Sheet1!$E:$E),0)</f>
        <v>14</v>
      </c>
      <c r="I181">
        <v>13305</v>
      </c>
      <c r="J181">
        <v>26897</v>
      </c>
      <c r="K181">
        <v>15855</v>
      </c>
      <c r="L181">
        <v>5139</v>
      </c>
    </row>
    <row r="182" spans="1:12">
      <c r="A182" t="s">
        <v>238</v>
      </c>
      <c r="B182" t="s">
        <v>239</v>
      </c>
      <c r="C182" t="s">
        <v>80</v>
      </c>
      <c r="D182" t="s">
        <v>81</v>
      </c>
      <c r="E182" s="5">
        <f>IFERROR(_xlfn.XLOOKUP($B183,[1]Sheet1!$A:$A,[1]Sheet1!$B:$B),0)</f>
        <v>43</v>
      </c>
      <c r="F182" s="5">
        <f>IFERROR(_xlfn.XLOOKUP($B183,[1]Sheet1!$A:$A,[1]Sheet1!$C:$C),0)</f>
        <v>13</v>
      </c>
      <c r="G182">
        <f>IFERROR(_xlfn.XLOOKUP($B183,[1]Sheet1!$A:$A,[1]Sheet1!$D:$D),0)</f>
        <v>17</v>
      </c>
      <c r="H182">
        <f>IFERROR(_xlfn.XLOOKUP($B183,[1]Sheet1!$A:$A,[1]Sheet1!$E:$E),0)</f>
        <v>14</v>
      </c>
      <c r="I182">
        <v>35214</v>
      </c>
      <c r="J182">
        <v>18667</v>
      </c>
      <c r="K182">
        <v>11841</v>
      </c>
      <c r="L182">
        <v>8522</v>
      </c>
    </row>
    <row r="183" spans="1:12">
      <c r="A183" t="s">
        <v>371</v>
      </c>
      <c r="B183" t="s">
        <v>372</v>
      </c>
      <c r="C183" t="s">
        <v>36</v>
      </c>
      <c r="D183" t="s">
        <v>37</v>
      </c>
      <c r="E183" s="5">
        <f>IFERROR(_xlfn.XLOOKUP($B184,[1]Sheet1!$A:$A,[1]Sheet1!$B:$B),0)</f>
        <v>19</v>
      </c>
      <c r="F183" s="5">
        <f>IFERROR(_xlfn.XLOOKUP($B184,[1]Sheet1!$A:$A,[1]Sheet1!$C:$C),0)</f>
        <v>2</v>
      </c>
      <c r="G183">
        <f>IFERROR(_xlfn.XLOOKUP($B184,[1]Sheet1!$A:$A,[1]Sheet1!$D:$D),0)</f>
        <v>54</v>
      </c>
      <c r="H183">
        <f>IFERROR(_xlfn.XLOOKUP($B184,[1]Sheet1!$A:$A,[1]Sheet1!$E:$E),0)</f>
        <v>44</v>
      </c>
      <c r="I183">
        <v>20332</v>
      </c>
      <c r="J183">
        <v>19829</v>
      </c>
      <c r="K183">
        <v>8390</v>
      </c>
      <c r="L183">
        <v>3355</v>
      </c>
    </row>
    <row r="184" spans="1:12">
      <c r="A184" t="s">
        <v>517</v>
      </c>
      <c r="B184" t="s">
        <v>518</v>
      </c>
      <c r="C184" t="s">
        <v>2</v>
      </c>
      <c r="D184" t="s">
        <v>3</v>
      </c>
      <c r="E184" s="5">
        <f>IFERROR(_xlfn.XLOOKUP($B185,[1]Sheet1!$A:$A,[1]Sheet1!$B:$B),0)</f>
        <v>59</v>
      </c>
      <c r="F184" s="5">
        <f>IFERROR(_xlfn.XLOOKUP($B185,[1]Sheet1!$A:$A,[1]Sheet1!$C:$C),0)</f>
        <v>26</v>
      </c>
      <c r="G184">
        <f>IFERROR(_xlfn.XLOOKUP($B185,[1]Sheet1!$A:$A,[1]Sheet1!$D:$D),0)</f>
        <v>29</v>
      </c>
      <c r="H184">
        <f>IFERROR(_xlfn.XLOOKUP($B185,[1]Sheet1!$A:$A,[1]Sheet1!$E:$E),0)</f>
        <v>37</v>
      </c>
      <c r="I184">
        <v>11676</v>
      </c>
      <c r="J184">
        <v>42492</v>
      </c>
      <c r="K184">
        <v>28946</v>
      </c>
      <c r="L184">
        <v>30478</v>
      </c>
    </row>
    <row r="185" spans="1:12">
      <c r="A185" t="s">
        <v>397</v>
      </c>
      <c r="B185" t="s">
        <v>398</v>
      </c>
      <c r="C185" t="s">
        <v>46</v>
      </c>
      <c r="D185" t="s">
        <v>47</v>
      </c>
      <c r="E185" s="5">
        <f>IFERROR(_xlfn.XLOOKUP($B186,[1]Sheet1!$A:$A,[1]Sheet1!$B:$B),0)</f>
        <v>49</v>
      </c>
      <c r="F185" s="5">
        <f>IFERROR(_xlfn.XLOOKUP($B186,[1]Sheet1!$A:$A,[1]Sheet1!$C:$C),0)</f>
        <v>3</v>
      </c>
      <c r="G185">
        <f>IFERROR(_xlfn.XLOOKUP($B186,[1]Sheet1!$A:$A,[1]Sheet1!$D:$D),0)</f>
        <v>30</v>
      </c>
      <c r="H185">
        <f>IFERROR(_xlfn.XLOOKUP($B186,[1]Sheet1!$A:$A,[1]Sheet1!$E:$E),0)</f>
        <v>20</v>
      </c>
      <c r="I185">
        <v>13642</v>
      </c>
      <c r="J185">
        <v>23932</v>
      </c>
      <c r="K185">
        <v>10341</v>
      </c>
      <c r="L185">
        <v>4565</v>
      </c>
    </row>
    <row r="186" spans="1:12">
      <c r="A186" t="s">
        <v>601</v>
      </c>
      <c r="B186" t="s">
        <v>602</v>
      </c>
      <c r="C186" t="s">
        <v>553</v>
      </c>
      <c r="D186" t="s">
        <v>554</v>
      </c>
      <c r="E186" s="5">
        <f>IFERROR(_xlfn.XLOOKUP($B187,[1]Sheet1!$A:$A,[1]Sheet1!$B:$B),0)</f>
        <v>66</v>
      </c>
      <c r="F186" s="5">
        <f>IFERROR(_xlfn.XLOOKUP($B187,[1]Sheet1!$A:$A,[1]Sheet1!$C:$C),0)</f>
        <v>63</v>
      </c>
      <c r="G186">
        <f>IFERROR(_xlfn.XLOOKUP($B187,[1]Sheet1!$A:$A,[1]Sheet1!$D:$D),0)</f>
        <v>78</v>
      </c>
      <c r="H186">
        <f>IFERROR(_xlfn.XLOOKUP($B187,[1]Sheet1!$A:$A,[1]Sheet1!$E:$E),0)</f>
        <v>74</v>
      </c>
      <c r="I186">
        <v>6337</v>
      </c>
      <c r="J186">
        <v>11937</v>
      </c>
      <c r="K186">
        <v>36118</v>
      </c>
      <c r="L186">
        <v>50384</v>
      </c>
    </row>
    <row r="187" spans="1:12">
      <c r="A187" t="s">
        <v>659</v>
      </c>
      <c r="B187" t="s">
        <v>660</v>
      </c>
      <c r="C187" t="s">
        <v>621</v>
      </c>
      <c r="D187" t="s">
        <v>622</v>
      </c>
      <c r="E187" s="5">
        <f>IFERROR(_xlfn.XLOOKUP($B188,[1]Sheet1!$A:$A,[1]Sheet1!$B:$B),0)</f>
        <v>34</v>
      </c>
      <c r="F187" s="5">
        <f>IFERROR(_xlfn.XLOOKUP($B188,[1]Sheet1!$A:$A,[1]Sheet1!$C:$C),0)</f>
        <v>4</v>
      </c>
      <c r="G187">
        <f>IFERROR(_xlfn.XLOOKUP($B188,[1]Sheet1!$A:$A,[1]Sheet1!$D:$D),0)</f>
        <v>47</v>
      </c>
      <c r="H187">
        <f>IFERROR(_xlfn.XLOOKUP($B188,[1]Sheet1!$A:$A,[1]Sheet1!$E:$E),0)</f>
        <v>28</v>
      </c>
      <c r="I187">
        <v>13654</v>
      </c>
      <c r="J187">
        <v>20759</v>
      </c>
      <c r="K187">
        <v>20549</v>
      </c>
      <c r="L187">
        <v>8885</v>
      </c>
    </row>
    <row r="188" spans="1:12">
      <c r="A188" t="s">
        <v>168</v>
      </c>
      <c r="B188" t="s">
        <v>169</v>
      </c>
      <c r="C188" t="s">
        <v>54</v>
      </c>
      <c r="D188" t="s">
        <v>55</v>
      </c>
      <c r="E188" s="5">
        <f>IFERROR(_xlfn.XLOOKUP($B189,[1]Sheet1!$A:$A,[1]Sheet1!$B:$B),0)</f>
        <v>1</v>
      </c>
      <c r="F188" s="5">
        <f>IFERROR(_xlfn.XLOOKUP($B189,[1]Sheet1!$A:$A,[1]Sheet1!$C:$C),0)</f>
        <v>186</v>
      </c>
      <c r="G188">
        <f>IFERROR(_xlfn.XLOOKUP($B189,[1]Sheet1!$A:$A,[1]Sheet1!$D:$D),0)</f>
        <v>6</v>
      </c>
      <c r="H188">
        <f>IFERROR(_xlfn.XLOOKUP($B189,[1]Sheet1!$A:$A,[1]Sheet1!$E:$E),0)</f>
        <v>42</v>
      </c>
      <c r="I188">
        <v>17051</v>
      </c>
      <c r="J188">
        <v>10177</v>
      </c>
      <c r="K188">
        <v>9471</v>
      </c>
      <c r="L188">
        <v>3617</v>
      </c>
    </row>
    <row r="189" spans="1:12">
      <c r="A189" t="s">
        <v>158</v>
      </c>
      <c r="B189" t="s">
        <v>159</v>
      </c>
      <c r="C189" t="s">
        <v>36</v>
      </c>
      <c r="D189" t="s">
        <v>37</v>
      </c>
      <c r="E189" s="5">
        <f>IFERROR(_xlfn.XLOOKUP($B190,[1]Sheet1!$A:$A,[1]Sheet1!$B:$B),0)</f>
        <v>28</v>
      </c>
      <c r="F189" s="5">
        <f>IFERROR(_xlfn.XLOOKUP($B190,[1]Sheet1!$A:$A,[1]Sheet1!$C:$C),0)</f>
        <v>15</v>
      </c>
      <c r="G189">
        <f>IFERROR(_xlfn.XLOOKUP($B190,[1]Sheet1!$A:$A,[1]Sheet1!$D:$D),0)</f>
        <v>27</v>
      </c>
      <c r="H189">
        <f>IFERROR(_xlfn.XLOOKUP($B190,[1]Sheet1!$A:$A,[1]Sheet1!$E:$E),0)</f>
        <v>44</v>
      </c>
      <c r="I189">
        <v>16871</v>
      </c>
      <c r="J189">
        <v>19949</v>
      </c>
      <c r="K189">
        <v>5896</v>
      </c>
      <c r="L189">
        <v>2392</v>
      </c>
    </row>
    <row r="190" spans="1:12">
      <c r="A190" t="s">
        <v>28</v>
      </c>
      <c r="B190" t="s">
        <v>29</v>
      </c>
      <c r="C190" t="s">
        <v>24</v>
      </c>
      <c r="D190" t="s">
        <v>25</v>
      </c>
      <c r="E190" s="5">
        <f>IFERROR(_xlfn.XLOOKUP($B191,[1]Sheet1!$A:$A,[1]Sheet1!$B:$B),0)</f>
        <v>51</v>
      </c>
      <c r="F190" s="5">
        <f>IFERROR(_xlfn.XLOOKUP($B191,[1]Sheet1!$A:$A,[1]Sheet1!$C:$C),0)</f>
        <v>11</v>
      </c>
      <c r="G190">
        <f>IFERROR(_xlfn.XLOOKUP($B191,[1]Sheet1!$A:$A,[1]Sheet1!$D:$D),0)</f>
        <v>12</v>
      </c>
      <c r="H190">
        <f>IFERROR(_xlfn.XLOOKUP($B191,[1]Sheet1!$A:$A,[1]Sheet1!$E:$E),0)</f>
        <v>24</v>
      </c>
      <c r="I190">
        <v>15597</v>
      </c>
      <c r="J190">
        <v>24186</v>
      </c>
      <c r="K190">
        <v>22044</v>
      </c>
      <c r="L190">
        <v>5517</v>
      </c>
    </row>
    <row r="191" spans="1:12">
      <c r="A191" t="s">
        <v>252</v>
      </c>
      <c r="B191" t="s">
        <v>253</v>
      </c>
      <c r="C191" t="s">
        <v>70</v>
      </c>
      <c r="D191" t="s">
        <v>71</v>
      </c>
      <c r="E191" s="5">
        <f>IFERROR(_xlfn.XLOOKUP($B192,[1]Sheet1!$A:$A,[1]Sheet1!$B:$B),0)</f>
        <v>29</v>
      </c>
      <c r="F191" s="5">
        <f>IFERROR(_xlfn.XLOOKUP($B192,[1]Sheet1!$A:$A,[1]Sheet1!$C:$C),0)</f>
        <v>0</v>
      </c>
      <c r="G191">
        <f>IFERROR(_xlfn.XLOOKUP($B192,[1]Sheet1!$A:$A,[1]Sheet1!$D:$D),0)</f>
        <v>39</v>
      </c>
      <c r="H191">
        <f>IFERROR(_xlfn.XLOOKUP($B192,[1]Sheet1!$A:$A,[1]Sheet1!$E:$E),0)</f>
        <v>11</v>
      </c>
      <c r="I191">
        <v>13776</v>
      </c>
      <c r="J191">
        <v>17305</v>
      </c>
      <c r="K191">
        <v>13939</v>
      </c>
      <c r="L191">
        <v>9686</v>
      </c>
    </row>
    <row r="192" spans="1:12">
      <c r="A192" t="s">
        <v>325</v>
      </c>
      <c r="B192" t="s">
        <v>326</v>
      </c>
      <c r="C192" t="s">
        <v>36</v>
      </c>
      <c r="D192" t="s">
        <v>37</v>
      </c>
      <c r="E192" s="5">
        <f>IFERROR(_xlfn.XLOOKUP($B193,[1]Sheet1!$A:$A,[1]Sheet1!$B:$B),0)</f>
        <v>29</v>
      </c>
      <c r="F192" s="5">
        <f>IFERROR(_xlfn.XLOOKUP($B193,[1]Sheet1!$A:$A,[1]Sheet1!$C:$C),0)</f>
        <v>6</v>
      </c>
      <c r="G192">
        <f>IFERROR(_xlfn.XLOOKUP($B193,[1]Sheet1!$A:$A,[1]Sheet1!$D:$D),0)</f>
        <v>50</v>
      </c>
      <c r="H192">
        <f>IFERROR(_xlfn.XLOOKUP($B193,[1]Sheet1!$A:$A,[1]Sheet1!$E:$E),0)</f>
        <v>53</v>
      </c>
      <c r="I192">
        <v>27549</v>
      </c>
      <c r="J192">
        <v>15521</v>
      </c>
      <c r="K192">
        <v>5282</v>
      </c>
      <c r="L192">
        <v>1586</v>
      </c>
    </row>
    <row r="193" spans="1:12">
      <c r="A193" t="s">
        <v>30</v>
      </c>
      <c r="B193" t="s">
        <v>31</v>
      </c>
      <c r="C193" t="s">
        <v>24</v>
      </c>
      <c r="D193" t="s">
        <v>25</v>
      </c>
      <c r="E193" s="5">
        <f>IFERROR(_xlfn.XLOOKUP($B194,[1]Sheet1!$A:$A,[1]Sheet1!$B:$B),0)</f>
        <v>23</v>
      </c>
      <c r="F193" s="5">
        <f>IFERROR(_xlfn.XLOOKUP($B194,[1]Sheet1!$A:$A,[1]Sheet1!$C:$C),0)</f>
        <v>22</v>
      </c>
      <c r="G193">
        <f>IFERROR(_xlfn.XLOOKUP($B194,[1]Sheet1!$A:$A,[1]Sheet1!$D:$D),0)</f>
        <v>32</v>
      </c>
      <c r="H193">
        <f>IFERROR(_xlfn.XLOOKUP($B194,[1]Sheet1!$A:$A,[1]Sheet1!$E:$E),0)</f>
        <v>35</v>
      </c>
      <c r="I193">
        <v>25763</v>
      </c>
      <c r="J193">
        <v>30620</v>
      </c>
      <c r="K193">
        <v>9819</v>
      </c>
      <c r="L193">
        <v>5076</v>
      </c>
    </row>
    <row r="194" spans="1:12">
      <c r="A194" t="s">
        <v>341</v>
      </c>
      <c r="B194" t="s">
        <v>342</v>
      </c>
      <c r="C194" t="s">
        <v>70</v>
      </c>
      <c r="D194" t="s">
        <v>71</v>
      </c>
      <c r="E194" s="5">
        <f>IFERROR(_xlfn.XLOOKUP($B195,[1]Sheet1!$A:$A,[1]Sheet1!$B:$B),0)</f>
        <v>0</v>
      </c>
      <c r="F194" s="5">
        <f>IFERROR(_xlfn.XLOOKUP($B195,[1]Sheet1!$A:$A,[1]Sheet1!$C:$C),0)</f>
        <v>0</v>
      </c>
      <c r="G194">
        <f>IFERROR(_xlfn.XLOOKUP($B195,[1]Sheet1!$A:$A,[1]Sheet1!$D:$D),0)</f>
        <v>0</v>
      </c>
      <c r="H194">
        <f>IFERROR(_xlfn.XLOOKUP($B195,[1]Sheet1!$A:$A,[1]Sheet1!$E:$E),0)</f>
        <v>0</v>
      </c>
      <c r="I194">
        <v>21614</v>
      </c>
      <c r="J194">
        <v>14583</v>
      </c>
      <c r="K194">
        <v>6963</v>
      </c>
      <c r="L194">
        <v>3226</v>
      </c>
    </row>
    <row r="195" spans="1:12">
      <c r="A195" s="1" t="s">
        <v>680</v>
      </c>
      <c r="B195" s="4" t="s">
        <v>678</v>
      </c>
      <c r="C195" t="s">
        <v>36</v>
      </c>
      <c r="D195" t="s">
        <v>37</v>
      </c>
      <c r="E195" s="5">
        <f>IFERROR(_xlfn.XLOOKUP($B196,[1]Sheet1!$A:$A,[1]Sheet1!$B:$B),0)</f>
        <v>54</v>
      </c>
      <c r="F195" s="5">
        <f>IFERROR(_xlfn.XLOOKUP($B196,[1]Sheet1!$A:$A,[1]Sheet1!$C:$C),0)</f>
        <v>4</v>
      </c>
      <c r="G195">
        <f>IFERROR(_xlfn.XLOOKUP($B196,[1]Sheet1!$A:$A,[1]Sheet1!$D:$D),0)</f>
        <v>45</v>
      </c>
      <c r="H195">
        <f>IFERROR(_xlfn.XLOOKUP($B196,[1]Sheet1!$A:$A,[1]Sheet1!$E:$E),0)</f>
        <v>19</v>
      </c>
      <c r="I195">
        <v>44461</v>
      </c>
      <c r="J195">
        <v>52529</v>
      </c>
      <c r="K195">
        <v>34629</v>
      </c>
      <c r="L195">
        <v>13574</v>
      </c>
    </row>
    <row r="196" spans="1:12">
      <c r="A196" t="s">
        <v>58</v>
      </c>
      <c r="B196" t="s">
        <v>59</v>
      </c>
      <c r="C196" t="s">
        <v>54</v>
      </c>
      <c r="D196" t="s">
        <v>55</v>
      </c>
      <c r="E196" s="5">
        <f>IFERROR(_xlfn.XLOOKUP($B197,[1]Sheet1!$A:$A,[1]Sheet1!$B:$B),0)</f>
        <v>55</v>
      </c>
      <c r="F196" s="5">
        <f>IFERROR(_xlfn.XLOOKUP($B197,[1]Sheet1!$A:$A,[1]Sheet1!$C:$C),0)</f>
        <v>13</v>
      </c>
      <c r="G196">
        <f>IFERROR(_xlfn.XLOOKUP($B197,[1]Sheet1!$A:$A,[1]Sheet1!$D:$D),0)</f>
        <v>25</v>
      </c>
      <c r="H196">
        <f>IFERROR(_xlfn.XLOOKUP($B197,[1]Sheet1!$A:$A,[1]Sheet1!$E:$E),0)</f>
        <v>22</v>
      </c>
      <c r="I196">
        <v>31344</v>
      </c>
      <c r="J196">
        <v>28469</v>
      </c>
      <c r="K196">
        <v>14314</v>
      </c>
      <c r="L196">
        <v>12303</v>
      </c>
    </row>
    <row r="197" spans="1:12">
      <c r="A197" t="s">
        <v>519</v>
      </c>
      <c r="B197" t="s">
        <v>520</v>
      </c>
      <c r="C197" t="s">
        <v>2</v>
      </c>
      <c r="D197" t="s">
        <v>3</v>
      </c>
      <c r="E197" s="5">
        <f>IFERROR(_xlfn.XLOOKUP($B198,[1]Sheet1!$A:$A,[1]Sheet1!$B:$B),0)</f>
        <v>101</v>
      </c>
      <c r="F197" s="5">
        <f>IFERROR(_xlfn.XLOOKUP($B198,[1]Sheet1!$A:$A,[1]Sheet1!$C:$C),0)</f>
        <v>20</v>
      </c>
      <c r="G197">
        <f>IFERROR(_xlfn.XLOOKUP($B198,[1]Sheet1!$A:$A,[1]Sheet1!$D:$D),0)</f>
        <v>115</v>
      </c>
      <c r="H197">
        <f>IFERROR(_xlfn.XLOOKUP($B198,[1]Sheet1!$A:$A,[1]Sheet1!$E:$E),0)</f>
        <v>53</v>
      </c>
      <c r="I197">
        <v>12051</v>
      </c>
      <c r="J197">
        <v>40118</v>
      </c>
      <c r="K197">
        <v>22090</v>
      </c>
      <c r="L197">
        <v>17096</v>
      </c>
    </row>
    <row r="198" spans="1:12">
      <c r="A198" t="s">
        <v>435</v>
      </c>
      <c r="B198" t="s">
        <v>436</v>
      </c>
      <c r="C198" t="s">
        <v>46</v>
      </c>
      <c r="D198" t="s">
        <v>47</v>
      </c>
      <c r="E198" s="5">
        <f>IFERROR(_xlfn.XLOOKUP($B199,[1]Sheet1!$A:$A,[1]Sheet1!$B:$B),0)</f>
        <v>73</v>
      </c>
      <c r="F198" s="5">
        <f>IFERROR(_xlfn.XLOOKUP($B199,[1]Sheet1!$A:$A,[1]Sheet1!$C:$C),0)</f>
        <v>50</v>
      </c>
      <c r="G198">
        <f>IFERROR(_xlfn.XLOOKUP($B199,[1]Sheet1!$A:$A,[1]Sheet1!$D:$D),0)</f>
        <v>61</v>
      </c>
      <c r="H198">
        <f>IFERROR(_xlfn.XLOOKUP($B199,[1]Sheet1!$A:$A,[1]Sheet1!$E:$E),0)</f>
        <v>47</v>
      </c>
      <c r="I198">
        <v>7965</v>
      </c>
      <c r="J198">
        <v>10828</v>
      </c>
      <c r="K198">
        <v>6227</v>
      </c>
      <c r="L198">
        <v>1869</v>
      </c>
    </row>
    <row r="199" spans="1:12">
      <c r="A199" t="s">
        <v>315</v>
      </c>
      <c r="B199" t="s">
        <v>316</v>
      </c>
      <c r="C199" t="s">
        <v>36</v>
      </c>
      <c r="D199" t="s">
        <v>37</v>
      </c>
      <c r="E199" s="5">
        <f>IFERROR(_xlfn.XLOOKUP($B200,[1]Sheet1!$A:$A,[1]Sheet1!$B:$B),0)</f>
        <v>13</v>
      </c>
      <c r="F199" s="5">
        <f>IFERROR(_xlfn.XLOOKUP($B200,[1]Sheet1!$A:$A,[1]Sheet1!$C:$C),0)</f>
        <v>1</v>
      </c>
      <c r="G199">
        <f>IFERROR(_xlfn.XLOOKUP($B200,[1]Sheet1!$A:$A,[1]Sheet1!$D:$D),0)</f>
        <v>20</v>
      </c>
      <c r="H199">
        <f>IFERROR(_xlfn.XLOOKUP($B200,[1]Sheet1!$A:$A,[1]Sheet1!$E:$E),0)</f>
        <v>13</v>
      </c>
      <c r="I199">
        <v>18472</v>
      </c>
      <c r="J199">
        <v>15690</v>
      </c>
      <c r="K199">
        <v>7550</v>
      </c>
      <c r="L199">
        <v>2206</v>
      </c>
    </row>
    <row r="200" spans="1:12">
      <c r="A200" t="s">
        <v>122</v>
      </c>
      <c r="B200" t="s">
        <v>123</v>
      </c>
      <c r="C200" t="s">
        <v>2</v>
      </c>
      <c r="D200" t="s">
        <v>3</v>
      </c>
      <c r="E200" s="5">
        <f>IFERROR(_xlfn.XLOOKUP($B201,[1]Sheet1!$A:$A,[1]Sheet1!$B:$B),0)</f>
        <v>45</v>
      </c>
      <c r="F200" s="5">
        <f>IFERROR(_xlfn.XLOOKUP($B201,[1]Sheet1!$A:$A,[1]Sheet1!$C:$C),0)</f>
        <v>2</v>
      </c>
      <c r="G200">
        <f>IFERROR(_xlfn.XLOOKUP($B201,[1]Sheet1!$A:$A,[1]Sheet1!$D:$D),0)</f>
        <v>49</v>
      </c>
      <c r="H200">
        <f>IFERROR(_xlfn.XLOOKUP($B201,[1]Sheet1!$A:$A,[1]Sheet1!$E:$E),0)</f>
        <v>21</v>
      </c>
      <c r="I200">
        <v>39981</v>
      </c>
      <c r="J200">
        <v>53097</v>
      </c>
      <c r="K200">
        <v>37801</v>
      </c>
      <c r="L200">
        <v>12097</v>
      </c>
    </row>
    <row r="201" spans="1:12">
      <c r="A201" t="s">
        <v>343</v>
      </c>
      <c r="B201" t="s">
        <v>344</v>
      </c>
      <c r="C201" t="s">
        <v>70</v>
      </c>
      <c r="D201" t="s">
        <v>71</v>
      </c>
      <c r="E201" s="5">
        <f>IFERROR(_xlfn.XLOOKUP($B202,[1]Sheet1!$A:$A,[1]Sheet1!$B:$B),0)</f>
        <v>0</v>
      </c>
      <c r="F201" s="5">
        <f>IFERROR(_xlfn.XLOOKUP($B202,[1]Sheet1!$A:$A,[1]Sheet1!$C:$C),0)</f>
        <v>0</v>
      </c>
      <c r="G201">
        <f>IFERROR(_xlfn.XLOOKUP($B202,[1]Sheet1!$A:$A,[1]Sheet1!$D:$D),0)</f>
        <v>0</v>
      </c>
      <c r="H201">
        <f>IFERROR(_xlfn.XLOOKUP($B202,[1]Sheet1!$A:$A,[1]Sheet1!$E:$E),0)</f>
        <v>0</v>
      </c>
      <c r="I201">
        <v>6612</v>
      </c>
      <c r="J201">
        <v>14029</v>
      </c>
      <c r="K201">
        <v>20606</v>
      </c>
      <c r="L201">
        <v>19471</v>
      </c>
    </row>
    <row r="202" spans="1:12">
      <c r="A202" t="s">
        <v>42</v>
      </c>
      <c r="B202" t="s">
        <v>43</v>
      </c>
      <c r="C202" t="s">
        <v>36</v>
      </c>
      <c r="D202" t="s">
        <v>37</v>
      </c>
      <c r="E202" s="5">
        <f>IFERROR(_xlfn.XLOOKUP($B203,[1]Sheet1!$A:$A,[1]Sheet1!$B:$B),0)</f>
        <v>209</v>
      </c>
      <c r="F202" s="5">
        <f>IFERROR(_xlfn.XLOOKUP($B203,[1]Sheet1!$A:$A,[1]Sheet1!$C:$C),0)</f>
        <v>62</v>
      </c>
      <c r="G202">
        <f>IFERROR(_xlfn.XLOOKUP($B203,[1]Sheet1!$A:$A,[1]Sheet1!$D:$D),0)</f>
        <v>198</v>
      </c>
      <c r="H202">
        <f>IFERROR(_xlfn.XLOOKUP($B203,[1]Sheet1!$A:$A,[1]Sheet1!$E:$E),0)</f>
        <v>161</v>
      </c>
      <c r="I202">
        <v>19464</v>
      </c>
      <c r="J202">
        <v>41519</v>
      </c>
      <c r="K202">
        <v>34147</v>
      </c>
      <c r="L202">
        <v>23009</v>
      </c>
    </row>
    <row r="203" spans="1:12">
      <c r="A203" t="s">
        <v>437</v>
      </c>
      <c r="B203" t="s">
        <v>438</v>
      </c>
      <c r="C203" t="s">
        <v>46</v>
      </c>
      <c r="D203" t="s">
        <v>47</v>
      </c>
      <c r="E203" s="5">
        <f>IFERROR(_xlfn.XLOOKUP($B204,[1]Sheet1!$A:$A,[1]Sheet1!$B:$B),0)</f>
        <v>130</v>
      </c>
      <c r="F203" s="5">
        <f>IFERROR(_xlfn.XLOOKUP($B204,[1]Sheet1!$A:$A,[1]Sheet1!$C:$C),0)</f>
        <v>27</v>
      </c>
      <c r="G203">
        <f>IFERROR(_xlfn.XLOOKUP($B204,[1]Sheet1!$A:$A,[1]Sheet1!$D:$D),0)</f>
        <v>97</v>
      </c>
      <c r="H203">
        <f>IFERROR(_xlfn.XLOOKUP($B204,[1]Sheet1!$A:$A,[1]Sheet1!$E:$E),0)</f>
        <v>98</v>
      </c>
      <c r="I203">
        <v>14120</v>
      </c>
      <c r="J203">
        <v>21569</v>
      </c>
      <c r="K203">
        <v>13649</v>
      </c>
      <c r="L203">
        <v>5968</v>
      </c>
    </row>
    <row r="204" spans="1:12">
      <c r="A204" t="s">
        <v>317</v>
      </c>
      <c r="B204" t="s">
        <v>318</v>
      </c>
      <c r="C204" t="s">
        <v>36</v>
      </c>
      <c r="D204" t="s">
        <v>37</v>
      </c>
      <c r="E204" s="5">
        <f>IFERROR(_xlfn.XLOOKUP($B205,[1]Sheet1!$A:$A,[1]Sheet1!$B:$B),0)</f>
        <v>16</v>
      </c>
      <c r="F204" s="5">
        <f>IFERROR(_xlfn.XLOOKUP($B205,[1]Sheet1!$A:$A,[1]Sheet1!$C:$C),0)</f>
        <v>30</v>
      </c>
      <c r="G204">
        <f>IFERROR(_xlfn.XLOOKUP($B205,[1]Sheet1!$A:$A,[1]Sheet1!$D:$D),0)</f>
        <v>22</v>
      </c>
      <c r="H204">
        <f>IFERROR(_xlfn.XLOOKUP($B205,[1]Sheet1!$A:$A,[1]Sheet1!$E:$E),0)</f>
        <v>50</v>
      </c>
      <c r="I204">
        <v>6776</v>
      </c>
      <c r="J204">
        <v>10683</v>
      </c>
      <c r="K204">
        <v>3253</v>
      </c>
      <c r="L204">
        <v>1527</v>
      </c>
    </row>
    <row r="205" spans="1:12">
      <c r="A205" t="s">
        <v>485</v>
      </c>
      <c r="B205" t="s">
        <v>486</v>
      </c>
      <c r="C205" t="s">
        <v>14</v>
      </c>
      <c r="D205" t="s">
        <v>15</v>
      </c>
      <c r="E205" s="5">
        <f>IFERROR(_xlfn.XLOOKUP($B206,[1]Sheet1!$A:$A,[1]Sheet1!$B:$B),0)</f>
        <v>29</v>
      </c>
      <c r="F205" s="5">
        <f>IFERROR(_xlfn.XLOOKUP($B206,[1]Sheet1!$A:$A,[1]Sheet1!$C:$C),0)</f>
        <v>5</v>
      </c>
      <c r="G205">
        <f>IFERROR(_xlfn.XLOOKUP($B206,[1]Sheet1!$A:$A,[1]Sheet1!$D:$D),0)</f>
        <v>33</v>
      </c>
      <c r="H205">
        <f>IFERROR(_xlfn.XLOOKUP($B206,[1]Sheet1!$A:$A,[1]Sheet1!$E:$E),0)</f>
        <v>23</v>
      </c>
      <c r="I205">
        <v>12356</v>
      </c>
      <c r="J205">
        <v>33440</v>
      </c>
      <c r="K205">
        <v>35838</v>
      </c>
      <c r="L205">
        <v>9857</v>
      </c>
    </row>
    <row r="206" spans="1:12">
      <c r="A206" t="s">
        <v>377</v>
      </c>
      <c r="B206" t="s">
        <v>378</v>
      </c>
      <c r="C206" t="s">
        <v>80</v>
      </c>
      <c r="D206" t="s">
        <v>81</v>
      </c>
      <c r="E206" s="5">
        <f>IFERROR(_xlfn.XLOOKUP($B207,[1]Sheet1!$A:$A,[1]Sheet1!$B:$B),0)</f>
        <v>25</v>
      </c>
      <c r="F206" s="5">
        <f>IFERROR(_xlfn.XLOOKUP($B207,[1]Sheet1!$A:$A,[1]Sheet1!$C:$C),0)</f>
        <v>2</v>
      </c>
      <c r="G206">
        <f>IFERROR(_xlfn.XLOOKUP($B207,[1]Sheet1!$A:$A,[1]Sheet1!$D:$D),0)</f>
        <v>20</v>
      </c>
      <c r="H206">
        <f>IFERROR(_xlfn.XLOOKUP($B207,[1]Sheet1!$A:$A,[1]Sheet1!$E:$E),0)</f>
        <v>3</v>
      </c>
      <c r="I206">
        <v>5257</v>
      </c>
      <c r="J206">
        <v>17531</v>
      </c>
      <c r="K206">
        <v>15353</v>
      </c>
      <c r="L206">
        <v>13310</v>
      </c>
    </row>
    <row r="207" spans="1:12">
      <c r="A207" t="s">
        <v>635</v>
      </c>
      <c r="B207" t="s">
        <v>636</v>
      </c>
      <c r="C207" t="s">
        <v>621</v>
      </c>
      <c r="D207" t="s">
        <v>622</v>
      </c>
      <c r="E207" s="5">
        <f>IFERROR(_xlfn.XLOOKUP($B208,[1]Sheet1!$A:$A,[1]Sheet1!$B:$B),0)</f>
        <v>20</v>
      </c>
      <c r="F207" s="5">
        <f>IFERROR(_xlfn.XLOOKUP($B208,[1]Sheet1!$A:$A,[1]Sheet1!$C:$C),0)</f>
        <v>23</v>
      </c>
      <c r="G207">
        <f>IFERROR(_xlfn.XLOOKUP($B208,[1]Sheet1!$A:$A,[1]Sheet1!$D:$D),0)</f>
        <v>35</v>
      </c>
      <c r="H207">
        <f>IFERROR(_xlfn.XLOOKUP($B208,[1]Sheet1!$A:$A,[1]Sheet1!$E:$E),0)</f>
        <v>58</v>
      </c>
      <c r="I207">
        <v>23707</v>
      </c>
      <c r="J207">
        <v>15301</v>
      </c>
      <c r="K207">
        <v>10121</v>
      </c>
      <c r="L207">
        <v>3928</v>
      </c>
    </row>
    <row r="208" spans="1:12">
      <c r="A208" t="s">
        <v>291</v>
      </c>
      <c r="B208" t="s">
        <v>292</v>
      </c>
      <c r="C208" t="s">
        <v>14</v>
      </c>
      <c r="D208" t="s">
        <v>15</v>
      </c>
      <c r="E208" s="5">
        <f>IFERROR(_xlfn.XLOOKUP($B209,[1]Sheet1!$A:$A,[1]Sheet1!$B:$B),0)</f>
        <v>3</v>
      </c>
      <c r="F208" s="5">
        <f>IFERROR(_xlfn.XLOOKUP($B209,[1]Sheet1!$A:$A,[1]Sheet1!$C:$C),0)</f>
        <v>18</v>
      </c>
      <c r="G208">
        <f>IFERROR(_xlfn.XLOOKUP($B209,[1]Sheet1!$A:$A,[1]Sheet1!$D:$D),0)</f>
        <v>19</v>
      </c>
      <c r="H208">
        <f>IFERROR(_xlfn.XLOOKUP($B209,[1]Sheet1!$A:$A,[1]Sheet1!$E:$E),0)</f>
        <v>26</v>
      </c>
      <c r="I208">
        <v>5516</v>
      </c>
      <c r="J208">
        <v>9318</v>
      </c>
      <c r="K208">
        <v>20064</v>
      </c>
      <c r="L208">
        <v>2269</v>
      </c>
    </row>
    <row r="209" spans="1:12">
      <c r="A209" t="s">
        <v>68</v>
      </c>
      <c r="B209" t="s">
        <v>69</v>
      </c>
      <c r="C209" t="s">
        <v>70</v>
      </c>
      <c r="D209" t="s">
        <v>71</v>
      </c>
      <c r="E209" s="5">
        <f>IFERROR(_xlfn.XLOOKUP($B210,[1]Sheet1!$A:$A,[1]Sheet1!$B:$B),0)</f>
        <v>44</v>
      </c>
      <c r="F209" s="5">
        <f>IFERROR(_xlfn.XLOOKUP($B210,[1]Sheet1!$A:$A,[1]Sheet1!$C:$C),0)</f>
        <v>6</v>
      </c>
      <c r="G209">
        <f>IFERROR(_xlfn.XLOOKUP($B210,[1]Sheet1!$A:$A,[1]Sheet1!$D:$D),0)</f>
        <v>21</v>
      </c>
      <c r="H209">
        <f>IFERROR(_xlfn.XLOOKUP($B210,[1]Sheet1!$A:$A,[1]Sheet1!$E:$E),0)</f>
        <v>24</v>
      </c>
      <c r="I209">
        <v>23554</v>
      </c>
      <c r="J209">
        <v>27721</v>
      </c>
      <c r="K209">
        <v>18495</v>
      </c>
      <c r="L209">
        <v>12436</v>
      </c>
    </row>
    <row r="210" spans="1:12">
      <c r="A210" t="s">
        <v>62</v>
      </c>
      <c r="B210" t="s">
        <v>63</v>
      </c>
      <c r="C210" t="s">
        <v>54</v>
      </c>
      <c r="D210" t="s">
        <v>55</v>
      </c>
      <c r="E210" s="5">
        <f>IFERROR(_xlfn.XLOOKUP($B211,[1]Sheet1!$A:$A,[1]Sheet1!$B:$B),0)</f>
        <v>17</v>
      </c>
      <c r="F210" s="5">
        <f>IFERROR(_xlfn.XLOOKUP($B211,[1]Sheet1!$A:$A,[1]Sheet1!$C:$C),0)</f>
        <v>3</v>
      </c>
      <c r="G210">
        <f>IFERROR(_xlfn.XLOOKUP($B211,[1]Sheet1!$A:$A,[1]Sheet1!$D:$D),0)</f>
        <v>11</v>
      </c>
      <c r="H210">
        <f>IFERROR(_xlfn.XLOOKUP($B211,[1]Sheet1!$A:$A,[1]Sheet1!$E:$E),0)</f>
        <v>49</v>
      </c>
      <c r="I210">
        <v>13017</v>
      </c>
      <c r="J210">
        <v>34537</v>
      </c>
      <c r="K210">
        <v>37592</v>
      </c>
      <c r="L210">
        <v>18588</v>
      </c>
    </row>
    <row r="211" spans="1:12">
      <c r="A211" t="s">
        <v>98</v>
      </c>
      <c r="B211" t="s">
        <v>99</v>
      </c>
      <c r="C211" t="s">
        <v>80</v>
      </c>
      <c r="D211" t="s">
        <v>81</v>
      </c>
      <c r="E211" s="5">
        <f>IFERROR(_xlfn.XLOOKUP($B212,[1]Sheet1!$A:$A,[1]Sheet1!$B:$B),0)</f>
        <v>9</v>
      </c>
      <c r="F211" s="5">
        <f>IFERROR(_xlfn.XLOOKUP($B212,[1]Sheet1!$A:$A,[1]Sheet1!$C:$C),0)</f>
        <v>46</v>
      </c>
      <c r="G211">
        <f>IFERROR(_xlfn.XLOOKUP($B212,[1]Sheet1!$A:$A,[1]Sheet1!$D:$D),0)</f>
        <v>14</v>
      </c>
      <c r="H211">
        <f>IFERROR(_xlfn.XLOOKUP($B212,[1]Sheet1!$A:$A,[1]Sheet1!$E:$E),0)</f>
        <v>89</v>
      </c>
      <c r="I211">
        <v>3864</v>
      </c>
      <c r="J211">
        <v>14218</v>
      </c>
      <c r="K211">
        <v>37361</v>
      </c>
      <c r="L211">
        <v>22794</v>
      </c>
    </row>
    <row r="212" spans="1:12">
      <c r="A212" t="s">
        <v>661</v>
      </c>
      <c r="B212" t="s">
        <v>662</v>
      </c>
      <c r="C212" t="s">
        <v>621</v>
      </c>
      <c r="D212" t="s">
        <v>622</v>
      </c>
      <c r="E212" s="5">
        <f>IFERROR(_xlfn.XLOOKUP($B213,[1]Sheet1!$A:$A,[1]Sheet1!$B:$B),0)</f>
        <v>43</v>
      </c>
      <c r="F212" s="5">
        <f>IFERROR(_xlfn.XLOOKUP($B213,[1]Sheet1!$A:$A,[1]Sheet1!$C:$C),0)</f>
        <v>3</v>
      </c>
      <c r="G212">
        <f>IFERROR(_xlfn.XLOOKUP($B213,[1]Sheet1!$A:$A,[1]Sheet1!$D:$D),0)</f>
        <v>18</v>
      </c>
      <c r="H212">
        <f>IFERROR(_xlfn.XLOOKUP($B213,[1]Sheet1!$A:$A,[1]Sheet1!$E:$E),0)</f>
        <v>26</v>
      </c>
      <c r="I212">
        <v>29176</v>
      </c>
      <c r="J212">
        <v>15351</v>
      </c>
      <c r="K212">
        <v>10134</v>
      </c>
      <c r="L212">
        <v>3187</v>
      </c>
    </row>
    <row r="213" spans="1:12">
      <c r="A213" t="s">
        <v>293</v>
      </c>
      <c r="B213" t="s">
        <v>294</v>
      </c>
      <c r="C213" t="s">
        <v>14</v>
      </c>
      <c r="D213" t="s">
        <v>15</v>
      </c>
      <c r="E213" s="5">
        <f>IFERROR(_xlfn.XLOOKUP($B214,[1]Sheet1!$A:$A,[1]Sheet1!$B:$B),0)</f>
        <v>50</v>
      </c>
      <c r="F213" s="5">
        <f>IFERROR(_xlfn.XLOOKUP($B214,[1]Sheet1!$A:$A,[1]Sheet1!$C:$C),0)</f>
        <v>24</v>
      </c>
      <c r="G213">
        <f>IFERROR(_xlfn.XLOOKUP($B214,[1]Sheet1!$A:$A,[1]Sheet1!$D:$D),0)</f>
        <v>55</v>
      </c>
      <c r="H213">
        <f>IFERROR(_xlfn.XLOOKUP($B214,[1]Sheet1!$A:$A,[1]Sheet1!$E:$E),0)</f>
        <v>39</v>
      </c>
      <c r="I213">
        <v>11348</v>
      </c>
      <c r="J213">
        <v>20358</v>
      </c>
      <c r="K213">
        <v>17431</v>
      </c>
      <c r="L213">
        <v>8318</v>
      </c>
    </row>
    <row r="214" spans="1:12">
      <c r="A214" t="s">
        <v>86</v>
      </c>
      <c r="B214" t="s">
        <v>87</v>
      </c>
      <c r="C214" t="s">
        <v>80</v>
      </c>
      <c r="D214" t="s">
        <v>81</v>
      </c>
      <c r="E214" s="5">
        <f>IFERROR(_xlfn.XLOOKUP($B215,[1]Sheet1!$A:$A,[1]Sheet1!$B:$B),0)</f>
        <v>8</v>
      </c>
      <c r="F214" s="5">
        <f>IFERROR(_xlfn.XLOOKUP($B215,[1]Sheet1!$A:$A,[1]Sheet1!$C:$C),0)</f>
        <v>50</v>
      </c>
      <c r="G214">
        <f>IFERROR(_xlfn.XLOOKUP($B215,[1]Sheet1!$A:$A,[1]Sheet1!$D:$D),0)</f>
        <v>23</v>
      </c>
      <c r="H214">
        <f>IFERROR(_xlfn.XLOOKUP($B215,[1]Sheet1!$A:$A,[1]Sheet1!$E:$E),0)</f>
        <v>46</v>
      </c>
      <c r="I214">
        <v>8291</v>
      </c>
      <c r="J214">
        <v>17548</v>
      </c>
      <c r="K214">
        <v>19083</v>
      </c>
      <c r="L214">
        <v>18210</v>
      </c>
    </row>
    <row r="215" spans="1:12">
      <c r="A215" t="s">
        <v>603</v>
      </c>
      <c r="B215" t="s">
        <v>604</v>
      </c>
      <c r="C215" t="s">
        <v>553</v>
      </c>
      <c r="D215" t="s">
        <v>554</v>
      </c>
      <c r="E215" s="5">
        <f>IFERROR(_xlfn.XLOOKUP($B216,[1]Sheet1!$A:$A,[1]Sheet1!$B:$B),0)</f>
        <v>4</v>
      </c>
      <c r="F215" s="5">
        <f>IFERROR(_xlfn.XLOOKUP($B216,[1]Sheet1!$A:$A,[1]Sheet1!$C:$C),0)</f>
        <v>47</v>
      </c>
      <c r="G215">
        <f>IFERROR(_xlfn.XLOOKUP($B216,[1]Sheet1!$A:$A,[1]Sheet1!$D:$D),0)</f>
        <v>18</v>
      </c>
      <c r="H215">
        <f>IFERROR(_xlfn.XLOOKUP($B216,[1]Sheet1!$A:$A,[1]Sheet1!$E:$E),0)</f>
        <v>64</v>
      </c>
      <c r="I215">
        <v>7229</v>
      </c>
      <c r="J215">
        <v>27965</v>
      </c>
      <c r="K215">
        <v>33469</v>
      </c>
      <c r="L215">
        <v>26303</v>
      </c>
    </row>
    <row r="216" spans="1:12">
      <c r="A216" t="s">
        <v>6</v>
      </c>
      <c r="B216" t="s">
        <v>7</v>
      </c>
      <c r="C216" t="s">
        <v>2</v>
      </c>
      <c r="D216" t="s">
        <v>3</v>
      </c>
      <c r="E216" s="5">
        <f>IFERROR(_xlfn.XLOOKUP($B217,[1]Sheet1!$A:$A,[1]Sheet1!$B:$B),0)</f>
        <v>24</v>
      </c>
      <c r="F216" s="5">
        <f>IFERROR(_xlfn.XLOOKUP($B217,[1]Sheet1!$A:$A,[1]Sheet1!$C:$C),0)</f>
        <v>4</v>
      </c>
      <c r="G216">
        <f>IFERROR(_xlfn.XLOOKUP($B217,[1]Sheet1!$A:$A,[1]Sheet1!$D:$D),0)</f>
        <v>54</v>
      </c>
      <c r="H216">
        <f>IFERROR(_xlfn.XLOOKUP($B217,[1]Sheet1!$A:$A,[1]Sheet1!$E:$E),0)</f>
        <v>32</v>
      </c>
      <c r="I216">
        <v>12449</v>
      </c>
      <c r="J216">
        <v>27942</v>
      </c>
      <c r="K216">
        <v>15666</v>
      </c>
      <c r="L216">
        <v>4005</v>
      </c>
    </row>
    <row r="217" spans="1:12">
      <c r="A217" t="s">
        <v>463</v>
      </c>
      <c r="B217" t="s">
        <v>464</v>
      </c>
      <c r="C217" t="s">
        <v>46</v>
      </c>
      <c r="D217" t="s">
        <v>47</v>
      </c>
      <c r="E217" s="5">
        <f>IFERROR(_xlfn.XLOOKUP($B218,[1]Sheet1!$A:$A,[1]Sheet1!$B:$B),0)</f>
        <v>16</v>
      </c>
      <c r="F217" s="5">
        <f>IFERROR(_xlfn.XLOOKUP($B218,[1]Sheet1!$A:$A,[1]Sheet1!$C:$C),0)</f>
        <v>5</v>
      </c>
      <c r="G217">
        <f>IFERROR(_xlfn.XLOOKUP($B218,[1]Sheet1!$A:$A,[1]Sheet1!$D:$D),0)</f>
        <v>13</v>
      </c>
      <c r="H217">
        <f>IFERROR(_xlfn.XLOOKUP($B218,[1]Sheet1!$A:$A,[1]Sheet1!$E:$E),0)</f>
        <v>14</v>
      </c>
      <c r="I217">
        <v>10014</v>
      </c>
      <c r="J217">
        <v>11419</v>
      </c>
      <c r="K217">
        <v>9393</v>
      </c>
      <c r="L217">
        <v>4731</v>
      </c>
    </row>
    <row r="218" spans="1:12">
      <c r="A218" t="s">
        <v>421</v>
      </c>
      <c r="B218" t="s">
        <v>422</v>
      </c>
      <c r="C218" t="s">
        <v>80</v>
      </c>
      <c r="D218" t="s">
        <v>81</v>
      </c>
      <c r="E218" s="5">
        <f>IFERROR(_xlfn.XLOOKUP($B219,[1]Sheet1!$A:$A,[1]Sheet1!$B:$B),0)</f>
        <v>0</v>
      </c>
      <c r="F218" s="5">
        <f>IFERROR(_xlfn.XLOOKUP($B219,[1]Sheet1!$A:$A,[1]Sheet1!$C:$C),0)</f>
        <v>0</v>
      </c>
      <c r="G218">
        <f>IFERROR(_xlfn.XLOOKUP($B219,[1]Sheet1!$A:$A,[1]Sheet1!$D:$D),0)</f>
        <v>0</v>
      </c>
      <c r="H218">
        <f>IFERROR(_xlfn.XLOOKUP($B219,[1]Sheet1!$A:$A,[1]Sheet1!$E:$E),0)</f>
        <v>0</v>
      </c>
      <c r="I218">
        <v>16679</v>
      </c>
      <c r="J218">
        <v>17720</v>
      </c>
      <c r="K218">
        <v>9596</v>
      </c>
      <c r="L218">
        <v>12839</v>
      </c>
    </row>
    <row r="219" spans="1:12">
      <c r="A219" t="s">
        <v>649</v>
      </c>
      <c r="B219" t="s">
        <v>650</v>
      </c>
      <c r="C219" t="s">
        <v>621</v>
      </c>
      <c r="D219" t="s">
        <v>622</v>
      </c>
      <c r="E219" s="5">
        <f>IFERROR(_xlfn.XLOOKUP($B220,[1]Sheet1!$A:$A,[1]Sheet1!$B:$B),0)</f>
        <v>19</v>
      </c>
      <c r="F219" s="5">
        <f>IFERROR(_xlfn.XLOOKUP($B220,[1]Sheet1!$A:$A,[1]Sheet1!$C:$C),0)</f>
        <v>5</v>
      </c>
      <c r="G219">
        <f>IFERROR(_xlfn.XLOOKUP($B220,[1]Sheet1!$A:$A,[1]Sheet1!$D:$D),0)</f>
        <v>32</v>
      </c>
      <c r="H219">
        <f>IFERROR(_xlfn.XLOOKUP($B220,[1]Sheet1!$A:$A,[1]Sheet1!$E:$E),0)</f>
        <v>99</v>
      </c>
      <c r="I219">
        <v>17012</v>
      </c>
      <c r="J219">
        <v>28717</v>
      </c>
      <c r="K219">
        <v>48928</v>
      </c>
      <c r="L219">
        <v>6780</v>
      </c>
    </row>
    <row r="220" spans="1:12">
      <c r="A220" t="s">
        <v>295</v>
      </c>
      <c r="B220" t="s">
        <v>296</v>
      </c>
      <c r="C220" t="s">
        <v>14</v>
      </c>
      <c r="D220" t="s">
        <v>15</v>
      </c>
      <c r="E220" s="5">
        <f>IFERROR(_xlfn.XLOOKUP($B221,[1]Sheet1!$A:$A,[1]Sheet1!$B:$B),0)</f>
        <v>17</v>
      </c>
      <c r="F220" s="5">
        <f>IFERROR(_xlfn.XLOOKUP($B221,[1]Sheet1!$A:$A,[1]Sheet1!$C:$C),0)</f>
        <v>0</v>
      </c>
      <c r="G220">
        <f>IFERROR(_xlfn.XLOOKUP($B221,[1]Sheet1!$A:$A,[1]Sheet1!$D:$D),0)</f>
        <v>24</v>
      </c>
      <c r="H220">
        <f>IFERROR(_xlfn.XLOOKUP($B221,[1]Sheet1!$A:$A,[1]Sheet1!$E:$E),0)</f>
        <v>25</v>
      </c>
      <c r="I220">
        <v>9217</v>
      </c>
      <c r="J220">
        <v>7659</v>
      </c>
      <c r="K220">
        <v>7558</v>
      </c>
      <c r="L220">
        <v>1491</v>
      </c>
    </row>
    <row r="221" spans="1:12">
      <c r="A221" t="s">
        <v>605</v>
      </c>
      <c r="B221" t="s">
        <v>606</v>
      </c>
      <c r="C221" t="s">
        <v>553</v>
      </c>
      <c r="D221" t="s">
        <v>554</v>
      </c>
      <c r="E221" s="5">
        <f>IFERROR(_xlfn.XLOOKUP($B222,[1]Sheet1!$A:$A,[1]Sheet1!$B:$B),0)</f>
        <v>0</v>
      </c>
      <c r="F221" s="5">
        <f>IFERROR(_xlfn.XLOOKUP($B222,[1]Sheet1!$A:$A,[1]Sheet1!$C:$C),0)</f>
        <v>0</v>
      </c>
      <c r="G221">
        <f>IFERROR(_xlfn.XLOOKUP($B222,[1]Sheet1!$A:$A,[1]Sheet1!$D:$D),0)</f>
        <v>0</v>
      </c>
      <c r="H221">
        <f>IFERROR(_xlfn.XLOOKUP($B222,[1]Sheet1!$A:$A,[1]Sheet1!$E:$E),0)</f>
        <v>0</v>
      </c>
      <c r="I221">
        <v>6683</v>
      </c>
      <c r="J221">
        <v>20164</v>
      </c>
      <c r="K221">
        <v>21431</v>
      </c>
      <c r="L221">
        <v>22721</v>
      </c>
    </row>
    <row r="222" spans="1:12">
      <c r="A222" t="s">
        <v>353</v>
      </c>
      <c r="B222" t="s">
        <v>354</v>
      </c>
      <c r="C222" t="s">
        <v>24</v>
      </c>
      <c r="D222" t="s">
        <v>25</v>
      </c>
      <c r="E222" s="5">
        <f>IFERROR(_xlfn.XLOOKUP($B223,[1]Sheet1!$A:$A,[1]Sheet1!$B:$B),0)</f>
        <v>9</v>
      </c>
      <c r="F222" s="5">
        <f>IFERROR(_xlfn.XLOOKUP($B223,[1]Sheet1!$A:$A,[1]Sheet1!$C:$C),0)</f>
        <v>52</v>
      </c>
      <c r="G222">
        <f>IFERROR(_xlfn.XLOOKUP($B223,[1]Sheet1!$A:$A,[1]Sheet1!$D:$D),0)</f>
        <v>17</v>
      </c>
      <c r="H222">
        <f>IFERROR(_xlfn.XLOOKUP($B223,[1]Sheet1!$A:$A,[1]Sheet1!$E:$E),0)</f>
        <v>39</v>
      </c>
      <c r="I222">
        <v>7497</v>
      </c>
      <c r="J222">
        <v>7515</v>
      </c>
      <c r="K222">
        <v>4226</v>
      </c>
      <c r="L222">
        <v>1057</v>
      </c>
    </row>
    <row r="223" spans="1:12">
      <c r="A223" t="s">
        <v>487</v>
      </c>
      <c r="B223" t="s">
        <v>488</v>
      </c>
      <c r="C223" t="s">
        <v>14</v>
      </c>
      <c r="D223" t="s">
        <v>15</v>
      </c>
      <c r="E223" s="5">
        <f>IFERROR(_xlfn.XLOOKUP($B224,[1]Sheet1!$A:$A,[1]Sheet1!$B:$B),0)</f>
        <v>30</v>
      </c>
      <c r="F223" s="5">
        <f>IFERROR(_xlfn.XLOOKUP($B224,[1]Sheet1!$A:$A,[1]Sheet1!$C:$C),0)</f>
        <v>8</v>
      </c>
      <c r="G223">
        <f>IFERROR(_xlfn.XLOOKUP($B224,[1]Sheet1!$A:$A,[1]Sheet1!$D:$D),0)</f>
        <v>57</v>
      </c>
      <c r="H223">
        <f>IFERROR(_xlfn.XLOOKUP($B224,[1]Sheet1!$A:$A,[1]Sheet1!$E:$E),0)</f>
        <v>78</v>
      </c>
      <c r="I223">
        <v>15155</v>
      </c>
      <c r="J223">
        <v>32358</v>
      </c>
      <c r="K223">
        <v>31026</v>
      </c>
      <c r="L223">
        <v>9916</v>
      </c>
    </row>
    <row r="224" spans="1:12">
      <c r="A224" t="s">
        <v>206</v>
      </c>
      <c r="B224" t="s">
        <v>207</v>
      </c>
      <c r="C224" t="s">
        <v>70</v>
      </c>
      <c r="D224" t="s">
        <v>71</v>
      </c>
      <c r="E224" s="5">
        <f>IFERROR(_xlfn.XLOOKUP($B225,[1]Sheet1!$A:$A,[1]Sheet1!$B:$B),0)</f>
        <v>29</v>
      </c>
      <c r="F224" s="5">
        <f>IFERROR(_xlfn.XLOOKUP($B225,[1]Sheet1!$A:$A,[1]Sheet1!$C:$C),0)</f>
        <v>7</v>
      </c>
      <c r="G224">
        <f>IFERROR(_xlfn.XLOOKUP($B225,[1]Sheet1!$A:$A,[1]Sheet1!$D:$D),0)</f>
        <v>31</v>
      </c>
      <c r="H224">
        <f>IFERROR(_xlfn.XLOOKUP($B225,[1]Sheet1!$A:$A,[1]Sheet1!$E:$E),0)</f>
        <v>9</v>
      </c>
      <c r="I224">
        <v>11951</v>
      </c>
      <c r="J224">
        <v>16310</v>
      </c>
      <c r="K224">
        <v>2811</v>
      </c>
      <c r="L224">
        <v>3315</v>
      </c>
    </row>
    <row r="225" spans="1:12">
      <c r="A225" t="s">
        <v>297</v>
      </c>
      <c r="B225" t="s">
        <v>298</v>
      </c>
      <c r="C225" t="s">
        <v>14</v>
      </c>
      <c r="D225" t="s">
        <v>15</v>
      </c>
      <c r="E225" s="5">
        <f>IFERROR(_xlfn.XLOOKUP($B226,[1]Sheet1!$A:$A,[1]Sheet1!$B:$B),0)</f>
        <v>10</v>
      </c>
      <c r="F225" s="5">
        <f>IFERROR(_xlfn.XLOOKUP($B226,[1]Sheet1!$A:$A,[1]Sheet1!$C:$C),0)</f>
        <v>7</v>
      </c>
      <c r="G225">
        <f>IFERROR(_xlfn.XLOOKUP($B226,[1]Sheet1!$A:$A,[1]Sheet1!$D:$D),0)</f>
        <v>13</v>
      </c>
      <c r="H225">
        <f>IFERROR(_xlfn.XLOOKUP($B226,[1]Sheet1!$A:$A,[1]Sheet1!$E:$E),0)</f>
        <v>32</v>
      </c>
      <c r="I225">
        <v>6634</v>
      </c>
      <c r="J225">
        <v>8041</v>
      </c>
      <c r="K225">
        <v>12675</v>
      </c>
      <c r="L225">
        <v>2322</v>
      </c>
    </row>
    <row r="226" spans="1:12">
      <c r="A226" t="s">
        <v>184</v>
      </c>
      <c r="B226" t="s">
        <v>185</v>
      </c>
      <c r="C226" t="s">
        <v>80</v>
      </c>
      <c r="D226" t="s">
        <v>81</v>
      </c>
      <c r="E226" s="5">
        <f>IFERROR(_xlfn.XLOOKUP($B227,[1]Sheet1!$A:$A,[1]Sheet1!$B:$B),0)</f>
        <v>37</v>
      </c>
      <c r="F226" s="5">
        <f>IFERROR(_xlfn.XLOOKUP($B227,[1]Sheet1!$A:$A,[1]Sheet1!$C:$C),0)</f>
        <v>31</v>
      </c>
      <c r="G226">
        <f>IFERROR(_xlfn.XLOOKUP($B227,[1]Sheet1!$A:$A,[1]Sheet1!$D:$D),0)</f>
        <v>12</v>
      </c>
      <c r="H226">
        <f>IFERROR(_xlfn.XLOOKUP($B227,[1]Sheet1!$A:$A,[1]Sheet1!$E:$E),0)</f>
        <v>13</v>
      </c>
      <c r="I226">
        <v>17719</v>
      </c>
      <c r="J226">
        <v>9620</v>
      </c>
      <c r="K226">
        <v>5452</v>
      </c>
      <c r="L226">
        <v>5973</v>
      </c>
    </row>
    <row r="227" spans="1:12">
      <c r="A227" t="s">
        <v>513</v>
      </c>
      <c r="B227" t="s">
        <v>514</v>
      </c>
      <c r="C227" t="s">
        <v>24</v>
      </c>
      <c r="D227" t="s">
        <v>25</v>
      </c>
      <c r="E227" s="5">
        <f>IFERROR(_xlfn.XLOOKUP($B228,[1]Sheet1!$A:$A,[1]Sheet1!$B:$B),0)</f>
        <v>29</v>
      </c>
      <c r="F227" s="5">
        <f>IFERROR(_xlfn.XLOOKUP($B228,[1]Sheet1!$A:$A,[1]Sheet1!$C:$C),0)</f>
        <v>9</v>
      </c>
      <c r="G227">
        <f>IFERROR(_xlfn.XLOOKUP($B228,[1]Sheet1!$A:$A,[1]Sheet1!$D:$D),0)</f>
        <v>19</v>
      </c>
      <c r="H227">
        <f>IFERROR(_xlfn.XLOOKUP($B228,[1]Sheet1!$A:$A,[1]Sheet1!$E:$E),0)</f>
        <v>19</v>
      </c>
      <c r="I227">
        <v>25415</v>
      </c>
      <c r="J227">
        <v>56050</v>
      </c>
      <c r="K227">
        <v>20689</v>
      </c>
      <c r="L227">
        <v>9957</v>
      </c>
    </row>
    <row r="228" spans="1:12">
      <c r="A228" t="s">
        <v>439</v>
      </c>
      <c r="B228" t="s">
        <v>440</v>
      </c>
      <c r="C228" t="s">
        <v>46</v>
      </c>
      <c r="D228" t="s">
        <v>47</v>
      </c>
      <c r="E228" s="5">
        <f>IFERROR(_xlfn.XLOOKUP($B229,[1]Sheet1!$A:$A,[1]Sheet1!$B:$B),0)</f>
        <v>15</v>
      </c>
      <c r="F228" s="5">
        <f>IFERROR(_xlfn.XLOOKUP($B229,[1]Sheet1!$A:$A,[1]Sheet1!$C:$C),0)</f>
        <v>53</v>
      </c>
      <c r="G228">
        <f>IFERROR(_xlfn.XLOOKUP($B229,[1]Sheet1!$A:$A,[1]Sheet1!$D:$D),0)</f>
        <v>15</v>
      </c>
      <c r="H228">
        <f>IFERROR(_xlfn.XLOOKUP($B229,[1]Sheet1!$A:$A,[1]Sheet1!$E:$E),0)</f>
        <v>12</v>
      </c>
      <c r="I228">
        <v>14350</v>
      </c>
      <c r="J228">
        <v>15938</v>
      </c>
      <c r="K228">
        <v>10615</v>
      </c>
      <c r="L228">
        <v>4836</v>
      </c>
    </row>
    <row r="229" spans="1:12">
      <c r="A229" t="s">
        <v>423</v>
      </c>
      <c r="B229" t="s">
        <v>424</v>
      </c>
      <c r="C229" t="s">
        <v>80</v>
      </c>
      <c r="D229" t="s">
        <v>81</v>
      </c>
      <c r="E229" s="5">
        <f>IFERROR(_xlfn.XLOOKUP($B230,[1]Sheet1!$A:$A,[1]Sheet1!$B:$B),0)</f>
        <v>62</v>
      </c>
      <c r="F229" s="5">
        <f>IFERROR(_xlfn.XLOOKUP($B230,[1]Sheet1!$A:$A,[1]Sheet1!$C:$C),0)</f>
        <v>7</v>
      </c>
      <c r="G229">
        <f>IFERROR(_xlfn.XLOOKUP($B230,[1]Sheet1!$A:$A,[1]Sheet1!$D:$D),0)</f>
        <v>27</v>
      </c>
      <c r="H229">
        <f>IFERROR(_xlfn.XLOOKUP($B230,[1]Sheet1!$A:$A,[1]Sheet1!$E:$E),0)</f>
        <v>12</v>
      </c>
      <c r="I229">
        <v>9032</v>
      </c>
      <c r="J229">
        <v>11190</v>
      </c>
      <c r="K229">
        <v>5369</v>
      </c>
      <c r="L229">
        <v>6922</v>
      </c>
    </row>
    <row r="230" spans="1:12">
      <c r="A230" t="s">
        <v>373</v>
      </c>
      <c r="B230" t="s">
        <v>374</v>
      </c>
      <c r="C230" t="s">
        <v>36</v>
      </c>
      <c r="D230" t="s">
        <v>37</v>
      </c>
      <c r="E230" s="5">
        <f>IFERROR(_xlfn.XLOOKUP($B231,[1]Sheet1!$A:$A,[1]Sheet1!$B:$B),0)</f>
        <v>9</v>
      </c>
      <c r="F230" s="5">
        <f>IFERROR(_xlfn.XLOOKUP($B231,[1]Sheet1!$A:$A,[1]Sheet1!$C:$C),0)</f>
        <v>65</v>
      </c>
      <c r="G230">
        <f>IFERROR(_xlfn.XLOOKUP($B231,[1]Sheet1!$A:$A,[1]Sheet1!$D:$D),0)</f>
        <v>23</v>
      </c>
      <c r="H230">
        <f>IFERROR(_xlfn.XLOOKUP($B231,[1]Sheet1!$A:$A,[1]Sheet1!$E:$E),0)</f>
        <v>22</v>
      </c>
      <c r="I230">
        <v>23373</v>
      </c>
      <c r="J230">
        <v>15394</v>
      </c>
      <c r="K230">
        <v>5600</v>
      </c>
      <c r="L230">
        <v>3810</v>
      </c>
    </row>
    <row r="231" spans="1:12">
      <c r="A231" t="s">
        <v>240</v>
      </c>
      <c r="B231" t="s">
        <v>241</v>
      </c>
      <c r="C231" t="s">
        <v>80</v>
      </c>
      <c r="D231" t="s">
        <v>81</v>
      </c>
      <c r="E231" s="5">
        <f>IFERROR(_xlfn.XLOOKUP($B232,[1]Sheet1!$A:$A,[1]Sheet1!$B:$B),0)</f>
        <v>20</v>
      </c>
      <c r="F231" s="5">
        <f>IFERROR(_xlfn.XLOOKUP($B232,[1]Sheet1!$A:$A,[1]Sheet1!$C:$C),0)</f>
        <v>4</v>
      </c>
      <c r="G231">
        <f>IFERROR(_xlfn.XLOOKUP($B232,[1]Sheet1!$A:$A,[1]Sheet1!$D:$D),0)</f>
        <v>9</v>
      </c>
      <c r="H231">
        <f>IFERROR(_xlfn.XLOOKUP($B232,[1]Sheet1!$A:$A,[1]Sheet1!$E:$E),0)</f>
        <v>10</v>
      </c>
      <c r="I231">
        <v>6491</v>
      </c>
      <c r="J231">
        <v>12597</v>
      </c>
      <c r="K231">
        <v>9238</v>
      </c>
      <c r="L231">
        <v>9121</v>
      </c>
    </row>
    <row r="232" spans="1:12">
      <c r="A232" t="s">
        <v>40</v>
      </c>
      <c r="B232" t="s">
        <v>41</v>
      </c>
      <c r="C232" t="s">
        <v>36</v>
      </c>
      <c r="D232" t="s">
        <v>37</v>
      </c>
      <c r="E232" s="5">
        <f>IFERROR(_xlfn.XLOOKUP($B233,[1]Sheet1!$A:$A,[1]Sheet1!$B:$B),0)</f>
        <v>0</v>
      </c>
      <c r="F232" s="5">
        <f>IFERROR(_xlfn.XLOOKUP($B233,[1]Sheet1!$A:$A,[1]Sheet1!$C:$C),0)</f>
        <v>0</v>
      </c>
      <c r="G232">
        <f>IFERROR(_xlfn.XLOOKUP($B233,[1]Sheet1!$A:$A,[1]Sheet1!$D:$D),0)</f>
        <v>0</v>
      </c>
      <c r="H232">
        <f>IFERROR(_xlfn.XLOOKUP($B233,[1]Sheet1!$A:$A,[1]Sheet1!$E:$E),0)</f>
        <v>0</v>
      </c>
      <c r="I232">
        <v>7753</v>
      </c>
      <c r="J232">
        <v>4710</v>
      </c>
      <c r="K232">
        <v>2826</v>
      </c>
      <c r="L232">
        <v>952</v>
      </c>
    </row>
    <row r="233" spans="1:12">
      <c r="A233" t="s">
        <v>355</v>
      </c>
      <c r="B233" t="s">
        <v>356</v>
      </c>
      <c r="C233" t="s">
        <v>24</v>
      </c>
      <c r="D233" t="s">
        <v>25</v>
      </c>
      <c r="E233" s="5">
        <f>IFERROR(_xlfn.XLOOKUP($B234,[1]Sheet1!$A:$A,[1]Sheet1!$B:$B),0)</f>
        <v>17</v>
      </c>
      <c r="F233" s="5">
        <f>IFERROR(_xlfn.XLOOKUP($B234,[1]Sheet1!$A:$A,[1]Sheet1!$C:$C),0)</f>
        <v>79</v>
      </c>
      <c r="G233">
        <f>IFERROR(_xlfn.XLOOKUP($B234,[1]Sheet1!$A:$A,[1]Sheet1!$D:$D),0)</f>
        <v>62</v>
      </c>
      <c r="H233">
        <f>IFERROR(_xlfn.XLOOKUP($B234,[1]Sheet1!$A:$A,[1]Sheet1!$E:$E),0)</f>
        <v>55</v>
      </c>
      <c r="I233">
        <v>10135</v>
      </c>
      <c r="J233">
        <v>8124</v>
      </c>
      <c r="K233">
        <v>4537</v>
      </c>
      <c r="L233">
        <v>1183</v>
      </c>
    </row>
    <row r="234" spans="1:12">
      <c r="A234" t="s">
        <v>489</v>
      </c>
      <c r="B234" t="s">
        <v>490</v>
      </c>
      <c r="C234" t="s">
        <v>14</v>
      </c>
      <c r="D234" t="s">
        <v>15</v>
      </c>
      <c r="E234" s="5">
        <f>IFERROR(_xlfn.XLOOKUP($B235,[1]Sheet1!$A:$A,[1]Sheet1!$B:$B),0)</f>
        <v>13</v>
      </c>
      <c r="F234" s="5">
        <f>IFERROR(_xlfn.XLOOKUP($B235,[1]Sheet1!$A:$A,[1]Sheet1!$C:$C),0)</f>
        <v>15</v>
      </c>
      <c r="G234">
        <f>IFERROR(_xlfn.XLOOKUP($B235,[1]Sheet1!$A:$A,[1]Sheet1!$D:$D),0)</f>
        <v>59</v>
      </c>
      <c r="H234">
        <f>IFERROR(_xlfn.XLOOKUP($B235,[1]Sheet1!$A:$A,[1]Sheet1!$E:$E),0)</f>
        <v>45</v>
      </c>
      <c r="I234">
        <v>10764</v>
      </c>
      <c r="J234">
        <v>39987</v>
      </c>
      <c r="K234">
        <v>29241</v>
      </c>
      <c r="L234">
        <v>31999</v>
      </c>
    </row>
    <row r="235" spans="1:12">
      <c r="A235" t="s">
        <v>531</v>
      </c>
      <c r="B235" t="s">
        <v>532</v>
      </c>
      <c r="C235" t="s">
        <v>46</v>
      </c>
      <c r="D235" t="s">
        <v>47</v>
      </c>
      <c r="E235" s="5">
        <f>IFERROR(_xlfn.XLOOKUP($B236,[1]Sheet1!$A:$A,[1]Sheet1!$B:$B),0)</f>
        <v>0</v>
      </c>
      <c r="F235" s="5">
        <f>IFERROR(_xlfn.XLOOKUP($B236,[1]Sheet1!$A:$A,[1]Sheet1!$C:$C),0)</f>
        <v>0</v>
      </c>
      <c r="G235">
        <f>IFERROR(_xlfn.XLOOKUP($B236,[1]Sheet1!$A:$A,[1]Sheet1!$D:$D),0)</f>
        <v>0</v>
      </c>
      <c r="H235">
        <f>IFERROR(_xlfn.XLOOKUP($B236,[1]Sheet1!$A:$A,[1]Sheet1!$E:$E),0)</f>
        <v>0</v>
      </c>
      <c r="I235">
        <v>15453</v>
      </c>
      <c r="J235">
        <v>57980</v>
      </c>
      <c r="K235">
        <v>31724</v>
      </c>
      <c r="L235">
        <v>21923</v>
      </c>
    </row>
    <row r="236" spans="1:12">
      <c r="A236" t="s">
        <v>357</v>
      </c>
      <c r="B236" t="s">
        <v>358</v>
      </c>
      <c r="C236" t="s">
        <v>24</v>
      </c>
      <c r="D236" t="s">
        <v>25</v>
      </c>
      <c r="E236" s="5">
        <f>IFERROR(_xlfn.XLOOKUP($B237,[1]Sheet1!$A:$A,[1]Sheet1!$B:$B),0)</f>
        <v>0</v>
      </c>
      <c r="F236" s="5">
        <f>IFERROR(_xlfn.XLOOKUP($B237,[1]Sheet1!$A:$A,[1]Sheet1!$C:$C),0)</f>
        <v>0</v>
      </c>
      <c r="G236">
        <f>IFERROR(_xlfn.XLOOKUP($B237,[1]Sheet1!$A:$A,[1]Sheet1!$D:$D),0)</f>
        <v>0</v>
      </c>
      <c r="H236">
        <f>IFERROR(_xlfn.XLOOKUP($B237,[1]Sheet1!$A:$A,[1]Sheet1!$E:$E),0)</f>
        <v>0</v>
      </c>
      <c r="I236">
        <v>11922</v>
      </c>
      <c r="J236">
        <v>17274</v>
      </c>
      <c r="K236">
        <v>10684</v>
      </c>
      <c r="L236">
        <v>6899</v>
      </c>
    </row>
    <row r="237" spans="1:12">
      <c r="A237" t="s">
        <v>387</v>
      </c>
      <c r="B237" t="s">
        <v>388</v>
      </c>
      <c r="C237" t="s">
        <v>54</v>
      </c>
      <c r="D237" t="s">
        <v>55</v>
      </c>
      <c r="E237" s="5">
        <f>IFERROR(_xlfn.XLOOKUP($B238,[1]Sheet1!$A:$A,[1]Sheet1!$B:$B),0)</f>
        <v>63</v>
      </c>
      <c r="F237" s="5">
        <f>IFERROR(_xlfn.XLOOKUP($B238,[1]Sheet1!$A:$A,[1]Sheet1!$C:$C),0)</f>
        <v>44</v>
      </c>
      <c r="G237">
        <f>IFERROR(_xlfn.XLOOKUP($B238,[1]Sheet1!$A:$A,[1]Sheet1!$D:$D),0)</f>
        <v>93</v>
      </c>
      <c r="H237">
        <f>IFERROR(_xlfn.XLOOKUP($B238,[1]Sheet1!$A:$A,[1]Sheet1!$E:$E),0)</f>
        <v>33</v>
      </c>
      <c r="I237">
        <v>17703</v>
      </c>
      <c r="J237">
        <v>17416</v>
      </c>
      <c r="K237">
        <v>11565</v>
      </c>
      <c r="L237">
        <v>4962</v>
      </c>
    </row>
    <row r="238" spans="1:12">
      <c r="A238" t="s">
        <v>505</v>
      </c>
      <c r="B238" t="s">
        <v>506</v>
      </c>
      <c r="C238" t="s">
        <v>14</v>
      </c>
      <c r="D238" t="s">
        <v>15</v>
      </c>
      <c r="E238" s="5">
        <f>IFERROR(_xlfn.XLOOKUP($B239,[1]Sheet1!$A:$A,[1]Sheet1!$B:$B),0)</f>
        <v>0</v>
      </c>
      <c r="F238" s="5">
        <f>IFERROR(_xlfn.XLOOKUP($B239,[1]Sheet1!$A:$A,[1]Sheet1!$C:$C),0)</f>
        <v>0</v>
      </c>
      <c r="G238">
        <f>IFERROR(_xlfn.XLOOKUP($B239,[1]Sheet1!$A:$A,[1]Sheet1!$D:$D),0)</f>
        <v>0</v>
      </c>
      <c r="H238">
        <f>IFERROR(_xlfn.XLOOKUP($B239,[1]Sheet1!$A:$A,[1]Sheet1!$E:$E),0)</f>
        <v>0</v>
      </c>
      <c r="I238">
        <v>19926</v>
      </c>
      <c r="J238">
        <v>56728</v>
      </c>
      <c r="K238">
        <v>22585</v>
      </c>
      <c r="L238">
        <v>16693</v>
      </c>
    </row>
    <row r="239" spans="1:12">
      <c r="A239" t="s">
        <v>359</v>
      </c>
      <c r="B239" t="s">
        <v>360</v>
      </c>
      <c r="C239" t="s">
        <v>24</v>
      </c>
      <c r="D239" t="s">
        <v>25</v>
      </c>
      <c r="E239" s="5">
        <f>IFERROR(_xlfn.XLOOKUP($B240,[1]Sheet1!$A:$A,[1]Sheet1!$B:$B),0)</f>
        <v>32</v>
      </c>
      <c r="F239" s="5">
        <f>IFERROR(_xlfn.XLOOKUP($B240,[1]Sheet1!$A:$A,[1]Sheet1!$C:$C),0)</f>
        <v>19</v>
      </c>
      <c r="G239">
        <f>IFERROR(_xlfn.XLOOKUP($B240,[1]Sheet1!$A:$A,[1]Sheet1!$D:$D),0)</f>
        <v>30</v>
      </c>
      <c r="H239">
        <f>IFERROR(_xlfn.XLOOKUP($B240,[1]Sheet1!$A:$A,[1]Sheet1!$E:$E),0)</f>
        <v>25</v>
      </c>
      <c r="I239">
        <v>16243</v>
      </c>
      <c r="J239">
        <v>13615</v>
      </c>
      <c r="K239">
        <v>6841</v>
      </c>
      <c r="L239">
        <v>2195</v>
      </c>
    </row>
    <row r="240" spans="1:12">
      <c r="A240" t="s">
        <v>270</v>
      </c>
      <c r="B240" t="s">
        <v>271</v>
      </c>
      <c r="C240" t="s">
        <v>80</v>
      </c>
      <c r="D240" t="s">
        <v>81</v>
      </c>
      <c r="E240" s="5">
        <f>IFERROR(_xlfn.XLOOKUP($B241,[1]Sheet1!$A:$A,[1]Sheet1!$B:$B),0)</f>
        <v>60</v>
      </c>
      <c r="F240" s="5">
        <f>IFERROR(_xlfn.XLOOKUP($B241,[1]Sheet1!$A:$A,[1]Sheet1!$C:$C),0)</f>
        <v>72</v>
      </c>
      <c r="G240">
        <f>IFERROR(_xlfn.XLOOKUP($B241,[1]Sheet1!$A:$A,[1]Sheet1!$D:$D),0)</f>
        <v>143</v>
      </c>
      <c r="H240">
        <f>IFERROR(_xlfn.XLOOKUP($B241,[1]Sheet1!$A:$A,[1]Sheet1!$E:$E),0)</f>
        <v>135</v>
      </c>
      <c r="I240">
        <v>16223</v>
      </c>
      <c r="J240">
        <v>14044</v>
      </c>
      <c r="K240">
        <v>10962</v>
      </c>
      <c r="L240">
        <v>5745</v>
      </c>
    </row>
    <row r="241" spans="1:12">
      <c r="A241" t="s">
        <v>515</v>
      </c>
      <c r="B241" t="s">
        <v>516</v>
      </c>
      <c r="C241" t="s">
        <v>24</v>
      </c>
      <c r="D241" t="s">
        <v>25</v>
      </c>
      <c r="E241" s="5">
        <f>IFERROR(_xlfn.XLOOKUP($B242,[1]Sheet1!$A:$A,[1]Sheet1!$B:$B),0)</f>
        <v>129</v>
      </c>
      <c r="F241" s="5">
        <f>IFERROR(_xlfn.XLOOKUP($B242,[1]Sheet1!$A:$A,[1]Sheet1!$C:$C),0)</f>
        <v>19</v>
      </c>
      <c r="G241">
        <f>IFERROR(_xlfn.XLOOKUP($B242,[1]Sheet1!$A:$A,[1]Sheet1!$D:$D),0)</f>
        <v>80</v>
      </c>
      <c r="H241">
        <f>IFERROR(_xlfn.XLOOKUP($B242,[1]Sheet1!$A:$A,[1]Sheet1!$E:$E),0)</f>
        <v>53</v>
      </c>
      <c r="I241">
        <v>34839</v>
      </c>
      <c r="J241">
        <v>88149</v>
      </c>
      <c r="K241">
        <v>60285</v>
      </c>
      <c r="L241">
        <v>40731</v>
      </c>
    </row>
    <row r="242" spans="1:12">
      <c r="A242" t="s">
        <v>110</v>
      </c>
      <c r="B242" t="s">
        <v>111</v>
      </c>
      <c r="C242" t="s">
        <v>46</v>
      </c>
      <c r="D242" t="s">
        <v>47</v>
      </c>
      <c r="E242" s="5">
        <f>IFERROR(_xlfn.XLOOKUP($B243,[1]Sheet1!$A:$A,[1]Sheet1!$B:$B),0)</f>
        <v>5</v>
      </c>
      <c r="F242" s="5">
        <f>IFERROR(_xlfn.XLOOKUP($B243,[1]Sheet1!$A:$A,[1]Sheet1!$C:$C),0)</f>
        <v>25</v>
      </c>
      <c r="G242">
        <f>IFERROR(_xlfn.XLOOKUP($B243,[1]Sheet1!$A:$A,[1]Sheet1!$D:$D),0)</f>
        <v>16</v>
      </c>
      <c r="H242">
        <f>IFERROR(_xlfn.XLOOKUP($B243,[1]Sheet1!$A:$A,[1]Sheet1!$E:$E),0)</f>
        <v>17</v>
      </c>
      <c r="I242">
        <v>57267</v>
      </c>
      <c r="J242">
        <v>46762</v>
      </c>
      <c r="K242">
        <v>21998</v>
      </c>
      <c r="L242">
        <v>8467</v>
      </c>
    </row>
    <row r="243" spans="1:12">
      <c r="A243" t="s">
        <v>88</v>
      </c>
      <c r="B243" t="s">
        <v>89</v>
      </c>
      <c r="C243" t="s">
        <v>80</v>
      </c>
      <c r="D243" t="s">
        <v>81</v>
      </c>
      <c r="E243" s="5">
        <f>IFERROR(_xlfn.XLOOKUP($B244,[1]Sheet1!$A:$A,[1]Sheet1!$B:$B),0)</f>
        <v>37</v>
      </c>
      <c r="F243" s="5">
        <f>IFERROR(_xlfn.XLOOKUP($B244,[1]Sheet1!$A:$A,[1]Sheet1!$C:$C),0)</f>
        <v>27</v>
      </c>
      <c r="G243">
        <f>IFERROR(_xlfn.XLOOKUP($B244,[1]Sheet1!$A:$A,[1]Sheet1!$D:$D),0)</f>
        <v>57</v>
      </c>
      <c r="H243">
        <f>IFERROR(_xlfn.XLOOKUP($B244,[1]Sheet1!$A:$A,[1]Sheet1!$E:$E),0)</f>
        <v>35</v>
      </c>
      <c r="I243">
        <v>5453</v>
      </c>
      <c r="J243">
        <v>15513</v>
      </c>
      <c r="K243">
        <v>13775</v>
      </c>
      <c r="L243">
        <v>15533</v>
      </c>
    </row>
    <row r="244" spans="1:12">
      <c r="A244" t="s">
        <v>533</v>
      </c>
      <c r="B244" t="s">
        <v>534</v>
      </c>
      <c r="C244" t="s">
        <v>46</v>
      </c>
      <c r="D244" t="s">
        <v>47</v>
      </c>
      <c r="E244" s="5">
        <f>IFERROR(_xlfn.XLOOKUP($B245,[1]Sheet1!$A:$A,[1]Sheet1!$B:$B),0)</f>
        <v>0</v>
      </c>
      <c r="F244" s="5">
        <f>IFERROR(_xlfn.XLOOKUP($B245,[1]Sheet1!$A:$A,[1]Sheet1!$C:$C),0)</f>
        <v>0</v>
      </c>
      <c r="G244">
        <f>IFERROR(_xlfn.XLOOKUP($B245,[1]Sheet1!$A:$A,[1]Sheet1!$D:$D),0)</f>
        <v>0</v>
      </c>
      <c r="H244">
        <f>IFERROR(_xlfn.XLOOKUP($B245,[1]Sheet1!$A:$A,[1]Sheet1!$E:$E),0)</f>
        <v>0</v>
      </c>
      <c r="I244">
        <v>25497</v>
      </c>
      <c r="J244">
        <v>33536</v>
      </c>
      <c r="K244">
        <v>14102</v>
      </c>
      <c r="L244">
        <v>14754</v>
      </c>
    </row>
    <row r="245" spans="1:12">
      <c r="A245" s="1" t="s">
        <v>669</v>
      </c>
      <c r="B245" s="1" t="s">
        <v>670</v>
      </c>
      <c r="C245" t="s">
        <v>54</v>
      </c>
      <c r="D245" t="s">
        <v>55</v>
      </c>
      <c r="E245" s="5">
        <f>IFERROR(_xlfn.XLOOKUP($B246,[1]Sheet1!$A:$A,[1]Sheet1!$B:$B),0)</f>
        <v>67</v>
      </c>
      <c r="F245" s="5">
        <f>IFERROR(_xlfn.XLOOKUP($B246,[1]Sheet1!$A:$A,[1]Sheet1!$C:$C),0)</f>
        <v>17</v>
      </c>
      <c r="G245">
        <f>IFERROR(_xlfn.XLOOKUP($B246,[1]Sheet1!$A:$A,[1]Sheet1!$D:$D),0)</f>
        <v>33</v>
      </c>
      <c r="H245">
        <f>IFERROR(_xlfn.XLOOKUP($B246,[1]Sheet1!$A:$A,[1]Sheet1!$E:$E),0)</f>
        <v>19</v>
      </c>
      <c r="I245">
        <v>21926</v>
      </c>
      <c r="J245">
        <v>20782</v>
      </c>
      <c r="K245">
        <v>15815</v>
      </c>
      <c r="L245">
        <v>8005</v>
      </c>
    </row>
    <row r="246" spans="1:12">
      <c r="A246" t="s">
        <v>132</v>
      </c>
      <c r="B246" t="s">
        <v>133</v>
      </c>
      <c r="C246" t="s">
        <v>70</v>
      </c>
      <c r="D246" t="s">
        <v>71</v>
      </c>
      <c r="E246" s="5">
        <f>IFERROR(_xlfn.XLOOKUP($B247,[1]Sheet1!$A:$A,[1]Sheet1!$B:$B),0)</f>
        <v>46</v>
      </c>
      <c r="F246" s="5">
        <f>IFERROR(_xlfn.XLOOKUP($B247,[1]Sheet1!$A:$A,[1]Sheet1!$C:$C),0)</f>
        <v>6</v>
      </c>
      <c r="G246">
        <f>IFERROR(_xlfn.XLOOKUP($B247,[1]Sheet1!$A:$A,[1]Sheet1!$D:$D),0)</f>
        <v>37</v>
      </c>
      <c r="H246">
        <f>IFERROR(_xlfn.XLOOKUP($B247,[1]Sheet1!$A:$A,[1]Sheet1!$E:$E),0)</f>
        <v>23</v>
      </c>
      <c r="I246">
        <v>27602</v>
      </c>
      <c r="J246">
        <v>22639</v>
      </c>
      <c r="K246">
        <v>11247</v>
      </c>
      <c r="L246">
        <v>4033</v>
      </c>
    </row>
    <row r="247" spans="1:12">
      <c r="A247" t="s">
        <v>160</v>
      </c>
      <c r="B247" t="s">
        <v>161</v>
      </c>
      <c r="C247" t="s">
        <v>36</v>
      </c>
      <c r="D247" t="s">
        <v>37</v>
      </c>
      <c r="E247" s="5">
        <f>IFERROR(_xlfn.XLOOKUP($B248,[1]Sheet1!$A:$A,[1]Sheet1!$B:$B),0)</f>
        <v>52</v>
      </c>
      <c r="F247" s="5">
        <f>IFERROR(_xlfn.XLOOKUP($B248,[1]Sheet1!$A:$A,[1]Sheet1!$C:$C),0)</f>
        <v>29</v>
      </c>
      <c r="G247">
        <f>IFERROR(_xlfn.XLOOKUP($B248,[1]Sheet1!$A:$A,[1]Sheet1!$D:$D),0)</f>
        <v>61</v>
      </c>
      <c r="H247">
        <f>IFERROR(_xlfn.XLOOKUP($B248,[1]Sheet1!$A:$A,[1]Sheet1!$E:$E),0)</f>
        <v>68</v>
      </c>
      <c r="I247">
        <v>18672</v>
      </c>
      <c r="J247">
        <v>15770</v>
      </c>
      <c r="K247">
        <v>7743</v>
      </c>
      <c r="L247">
        <v>2123</v>
      </c>
    </row>
    <row r="248" spans="1:12">
      <c r="A248" t="s">
        <v>60</v>
      </c>
      <c r="B248" t="s">
        <v>61</v>
      </c>
      <c r="C248" t="s">
        <v>54</v>
      </c>
      <c r="D248" t="s">
        <v>55</v>
      </c>
      <c r="E248" s="5">
        <f>IFERROR(_xlfn.XLOOKUP($B249,[1]Sheet1!$A:$A,[1]Sheet1!$B:$B),0)</f>
        <v>63</v>
      </c>
      <c r="F248" s="5">
        <f>IFERROR(_xlfn.XLOOKUP($B249,[1]Sheet1!$A:$A,[1]Sheet1!$C:$C),0)</f>
        <v>12</v>
      </c>
      <c r="G248">
        <f>IFERROR(_xlfn.XLOOKUP($B249,[1]Sheet1!$A:$A,[1]Sheet1!$D:$D),0)</f>
        <v>15</v>
      </c>
      <c r="H248">
        <f>IFERROR(_xlfn.XLOOKUP($B249,[1]Sheet1!$A:$A,[1]Sheet1!$E:$E),0)</f>
        <v>30</v>
      </c>
      <c r="I248">
        <v>31401</v>
      </c>
      <c r="J248">
        <v>40784</v>
      </c>
      <c r="K248">
        <v>30133</v>
      </c>
      <c r="L248">
        <v>12339</v>
      </c>
    </row>
    <row r="249" spans="1:12">
      <c r="A249" t="s">
        <v>170</v>
      </c>
      <c r="B249" t="s">
        <v>171</v>
      </c>
      <c r="C249" t="s">
        <v>54</v>
      </c>
      <c r="D249" t="s">
        <v>55</v>
      </c>
      <c r="E249" s="5">
        <f>IFERROR(_xlfn.XLOOKUP($B250,[1]Sheet1!$A:$A,[1]Sheet1!$B:$B),0)</f>
        <v>46</v>
      </c>
      <c r="F249" s="5">
        <f>IFERROR(_xlfn.XLOOKUP($B250,[1]Sheet1!$A:$A,[1]Sheet1!$C:$C),0)</f>
        <v>2</v>
      </c>
      <c r="G249">
        <f>IFERROR(_xlfn.XLOOKUP($B250,[1]Sheet1!$A:$A,[1]Sheet1!$D:$D),0)</f>
        <v>17</v>
      </c>
      <c r="H249">
        <f>IFERROR(_xlfn.XLOOKUP($B250,[1]Sheet1!$A:$A,[1]Sheet1!$E:$E),0)</f>
        <v>12</v>
      </c>
      <c r="I249">
        <v>15663</v>
      </c>
      <c r="J249">
        <v>11029</v>
      </c>
      <c r="K249">
        <v>8215</v>
      </c>
      <c r="L249">
        <v>2414</v>
      </c>
    </row>
    <row r="250" spans="1:12">
      <c r="A250" t="s">
        <v>327</v>
      </c>
      <c r="B250" t="s">
        <v>328</v>
      </c>
      <c r="C250" t="s">
        <v>36</v>
      </c>
      <c r="D250" t="s">
        <v>37</v>
      </c>
      <c r="E250" s="5">
        <f>IFERROR(_xlfn.XLOOKUP($B251,[1]Sheet1!$A:$A,[1]Sheet1!$B:$B),0)</f>
        <v>77</v>
      </c>
      <c r="F250" s="5">
        <f>IFERROR(_xlfn.XLOOKUP($B251,[1]Sheet1!$A:$A,[1]Sheet1!$C:$C),0)</f>
        <v>9</v>
      </c>
      <c r="G250">
        <f>IFERROR(_xlfn.XLOOKUP($B251,[1]Sheet1!$A:$A,[1]Sheet1!$D:$D),0)</f>
        <v>33</v>
      </c>
      <c r="H250">
        <f>IFERROR(_xlfn.XLOOKUP($B251,[1]Sheet1!$A:$A,[1]Sheet1!$E:$E),0)</f>
        <v>28</v>
      </c>
      <c r="I250">
        <v>21870</v>
      </c>
      <c r="J250">
        <v>12661</v>
      </c>
      <c r="K250">
        <v>3943</v>
      </c>
      <c r="L250">
        <v>1337</v>
      </c>
    </row>
    <row r="251" spans="1:12">
      <c r="A251" t="s">
        <v>329</v>
      </c>
      <c r="B251" t="s">
        <v>330</v>
      </c>
      <c r="C251" t="s">
        <v>36</v>
      </c>
      <c r="D251" t="s">
        <v>37</v>
      </c>
      <c r="E251" s="5">
        <f>IFERROR(_xlfn.XLOOKUP($B252,[1]Sheet1!$A:$A,[1]Sheet1!$B:$B),0)</f>
        <v>0</v>
      </c>
      <c r="F251" s="5">
        <f>IFERROR(_xlfn.XLOOKUP($B252,[1]Sheet1!$A:$A,[1]Sheet1!$C:$C),0)</f>
        <v>0</v>
      </c>
      <c r="G251">
        <f>IFERROR(_xlfn.XLOOKUP($B252,[1]Sheet1!$A:$A,[1]Sheet1!$D:$D),0)</f>
        <v>0</v>
      </c>
      <c r="H251">
        <f>IFERROR(_xlfn.XLOOKUP($B252,[1]Sheet1!$A:$A,[1]Sheet1!$E:$E),0)</f>
        <v>0</v>
      </c>
      <c r="I251">
        <v>26261</v>
      </c>
      <c r="J251">
        <v>19391</v>
      </c>
      <c r="K251">
        <v>10994</v>
      </c>
      <c r="L251">
        <v>4265</v>
      </c>
    </row>
    <row r="252" spans="1:12">
      <c r="A252" t="s">
        <v>144</v>
      </c>
      <c r="B252" t="s">
        <v>145</v>
      </c>
      <c r="C252" t="s">
        <v>14</v>
      </c>
      <c r="D252" t="s">
        <v>15</v>
      </c>
      <c r="E252" s="5">
        <f>IFERROR(_xlfn.XLOOKUP($B253,[1]Sheet1!$A:$A,[1]Sheet1!$B:$B),0)</f>
        <v>61</v>
      </c>
      <c r="F252" s="5">
        <f>IFERROR(_xlfn.XLOOKUP($B253,[1]Sheet1!$A:$A,[1]Sheet1!$C:$C),0)</f>
        <v>4</v>
      </c>
      <c r="G252">
        <f>IFERROR(_xlfn.XLOOKUP($B253,[1]Sheet1!$A:$A,[1]Sheet1!$D:$D),0)</f>
        <v>37</v>
      </c>
      <c r="H252">
        <f>IFERROR(_xlfn.XLOOKUP($B253,[1]Sheet1!$A:$A,[1]Sheet1!$E:$E),0)</f>
        <v>18</v>
      </c>
      <c r="I252">
        <v>15108</v>
      </c>
      <c r="J252">
        <v>14655</v>
      </c>
      <c r="K252">
        <v>11042</v>
      </c>
      <c r="L252">
        <v>4149</v>
      </c>
    </row>
    <row r="253" spans="1:12">
      <c r="A253" t="s">
        <v>345</v>
      </c>
      <c r="B253" t="s">
        <v>346</v>
      </c>
      <c r="C253" t="s">
        <v>70</v>
      </c>
      <c r="D253" t="s">
        <v>71</v>
      </c>
      <c r="E253" s="5">
        <f>IFERROR(_xlfn.XLOOKUP($B254,[1]Sheet1!$A:$A,[1]Sheet1!$B:$B),0)</f>
        <v>27</v>
      </c>
      <c r="F253" s="5">
        <f>IFERROR(_xlfn.XLOOKUP($B254,[1]Sheet1!$A:$A,[1]Sheet1!$C:$C),0)</f>
        <v>17</v>
      </c>
      <c r="G253">
        <f>IFERROR(_xlfn.XLOOKUP($B254,[1]Sheet1!$A:$A,[1]Sheet1!$D:$D),0)</f>
        <v>52</v>
      </c>
      <c r="H253">
        <f>IFERROR(_xlfn.XLOOKUP($B254,[1]Sheet1!$A:$A,[1]Sheet1!$E:$E),0)</f>
        <v>38</v>
      </c>
      <c r="I253">
        <v>30430</v>
      </c>
      <c r="J253">
        <v>19062</v>
      </c>
      <c r="K253">
        <v>7674</v>
      </c>
      <c r="L253">
        <v>3141</v>
      </c>
    </row>
    <row r="254" spans="1:12">
      <c r="A254" t="s">
        <v>379</v>
      </c>
      <c r="B254" t="s">
        <v>380</v>
      </c>
      <c r="C254" t="s">
        <v>80</v>
      </c>
      <c r="D254" t="s">
        <v>81</v>
      </c>
      <c r="E254" s="5">
        <f>IFERROR(_xlfn.XLOOKUP($B255,[1]Sheet1!$A:$A,[1]Sheet1!$B:$B),0)</f>
        <v>34</v>
      </c>
      <c r="F254" s="5">
        <f>IFERROR(_xlfn.XLOOKUP($B255,[1]Sheet1!$A:$A,[1]Sheet1!$C:$C),0)</f>
        <v>2</v>
      </c>
      <c r="G254">
        <f>IFERROR(_xlfn.XLOOKUP($B255,[1]Sheet1!$A:$A,[1]Sheet1!$D:$D),0)</f>
        <v>56</v>
      </c>
      <c r="H254">
        <f>IFERROR(_xlfn.XLOOKUP($B255,[1]Sheet1!$A:$A,[1]Sheet1!$E:$E),0)</f>
        <v>15</v>
      </c>
      <c r="I254">
        <v>21670</v>
      </c>
      <c r="J254">
        <v>20433</v>
      </c>
      <c r="K254">
        <v>11348</v>
      </c>
      <c r="L254">
        <v>5526</v>
      </c>
    </row>
    <row r="255" spans="1:12">
      <c r="A255" t="s">
        <v>299</v>
      </c>
      <c r="B255" t="s">
        <v>300</v>
      </c>
      <c r="C255" t="s">
        <v>14</v>
      </c>
      <c r="D255" t="s">
        <v>15</v>
      </c>
      <c r="E255" s="5">
        <f>IFERROR(_xlfn.XLOOKUP($B256,[1]Sheet1!$A:$A,[1]Sheet1!$B:$B),0)</f>
        <v>0</v>
      </c>
      <c r="F255" s="5">
        <f>IFERROR(_xlfn.XLOOKUP($B256,[1]Sheet1!$A:$A,[1]Sheet1!$C:$C),0)</f>
        <v>0</v>
      </c>
      <c r="G255">
        <f>IFERROR(_xlfn.XLOOKUP($B256,[1]Sheet1!$A:$A,[1]Sheet1!$D:$D),0)</f>
        <v>0</v>
      </c>
      <c r="H255">
        <f>IFERROR(_xlfn.XLOOKUP($B256,[1]Sheet1!$A:$A,[1]Sheet1!$E:$E),0)</f>
        <v>0</v>
      </c>
      <c r="I255">
        <v>14458</v>
      </c>
      <c r="J255">
        <v>21651</v>
      </c>
      <c r="K255">
        <v>8169</v>
      </c>
      <c r="L255">
        <v>3443</v>
      </c>
    </row>
    <row r="256" spans="1:12">
      <c r="A256" t="s">
        <v>389</v>
      </c>
      <c r="B256" t="s">
        <v>390</v>
      </c>
      <c r="C256" t="s">
        <v>54</v>
      </c>
      <c r="D256" t="s">
        <v>55</v>
      </c>
      <c r="E256" s="5">
        <f>IFERROR(_xlfn.XLOOKUP($B257,[1]Sheet1!$A:$A,[1]Sheet1!$B:$B),0)</f>
        <v>26</v>
      </c>
      <c r="F256" s="5">
        <f>IFERROR(_xlfn.XLOOKUP($B257,[1]Sheet1!$A:$A,[1]Sheet1!$C:$C),0)</f>
        <v>6</v>
      </c>
      <c r="G256">
        <f>IFERROR(_xlfn.XLOOKUP($B257,[1]Sheet1!$A:$A,[1]Sheet1!$D:$D),0)</f>
        <v>28</v>
      </c>
      <c r="H256">
        <f>IFERROR(_xlfn.XLOOKUP($B257,[1]Sheet1!$A:$A,[1]Sheet1!$E:$E),0)</f>
        <v>6</v>
      </c>
      <c r="I256">
        <v>25568</v>
      </c>
      <c r="J256">
        <v>23944</v>
      </c>
      <c r="K256">
        <v>17476</v>
      </c>
      <c r="L256">
        <v>6185</v>
      </c>
    </row>
    <row r="257" spans="1:12">
      <c r="A257" t="s">
        <v>399</v>
      </c>
      <c r="B257" t="s">
        <v>400</v>
      </c>
      <c r="C257" t="s">
        <v>46</v>
      </c>
      <c r="D257" t="s">
        <v>47</v>
      </c>
      <c r="E257" s="5">
        <f>IFERROR(_xlfn.XLOOKUP($B258,[1]Sheet1!$A:$A,[1]Sheet1!$B:$B),0)</f>
        <v>7</v>
      </c>
      <c r="F257" s="5">
        <f>IFERROR(_xlfn.XLOOKUP($B258,[1]Sheet1!$A:$A,[1]Sheet1!$C:$C),0)</f>
        <v>23</v>
      </c>
      <c r="G257">
        <f>IFERROR(_xlfn.XLOOKUP($B258,[1]Sheet1!$A:$A,[1]Sheet1!$D:$D),0)</f>
        <v>30</v>
      </c>
      <c r="H257">
        <f>IFERROR(_xlfn.XLOOKUP($B258,[1]Sheet1!$A:$A,[1]Sheet1!$E:$E),0)</f>
        <v>32</v>
      </c>
      <c r="I257">
        <v>18240</v>
      </c>
      <c r="J257">
        <v>18073</v>
      </c>
      <c r="K257">
        <v>4957</v>
      </c>
      <c r="L257">
        <v>3395</v>
      </c>
    </row>
    <row r="258" spans="1:12">
      <c r="A258" t="s">
        <v>521</v>
      </c>
      <c r="B258" t="s">
        <v>522</v>
      </c>
      <c r="C258" t="s">
        <v>2</v>
      </c>
      <c r="D258" t="s">
        <v>3</v>
      </c>
      <c r="E258" s="5">
        <f>IFERROR(_xlfn.XLOOKUP($B259,[1]Sheet1!$A:$A,[1]Sheet1!$B:$B),0)</f>
        <v>11</v>
      </c>
      <c r="F258" s="5">
        <f>IFERROR(_xlfn.XLOOKUP($B259,[1]Sheet1!$A:$A,[1]Sheet1!$C:$C),0)</f>
        <v>40</v>
      </c>
      <c r="G258">
        <f>IFERROR(_xlfn.XLOOKUP($B259,[1]Sheet1!$A:$A,[1]Sheet1!$D:$D),0)</f>
        <v>40</v>
      </c>
      <c r="H258">
        <f>IFERROR(_xlfn.XLOOKUP($B259,[1]Sheet1!$A:$A,[1]Sheet1!$E:$E),0)</f>
        <v>36</v>
      </c>
      <c r="I258">
        <v>6408</v>
      </c>
      <c r="J258">
        <v>29261</v>
      </c>
      <c r="K258">
        <v>18704</v>
      </c>
      <c r="L258">
        <v>10952</v>
      </c>
    </row>
    <row r="259" spans="1:12">
      <c r="A259" t="s">
        <v>100</v>
      </c>
      <c r="B259" t="s">
        <v>101</v>
      </c>
      <c r="C259" t="s">
        <v>80</v>
      </c>
      <c r="D259" t="s">
        <v>81</v>
      </c>
      <c r="E259" s="5">
        <f>IFERROR(_xlfn.XLOOKUP($B260,[1]Sheet1!$A:$A,[1]Sheet1!$B:$B),0)</f>
        <v>17</v>
      </c>
      <c r="F259" s="5">
        <f>IFERROR(_xlfn.XLOOKUP($B260,[1]Sheet1!$A:$A,[1]Sheet1!$C:$C),0)</f>
        <v>48</v>
      </c>
      <c r="G259">
        <f>IFERROR(_xlfn.XLOOKUP($B260,[1]Sheet1!$A:$A,[1]Sheet1!$D:$D),0)</f>
        <v>45</v>
      </c>
      <c r="H259">
        <f>IFERROR(_xlfn.XLOOKUP($B260,[1]Sheet1!$A:$A,[1]Sheet1!$E:$E),0)</f>
        <v>23</v>
      </c>
      <c r="I259">
        <v>13291</v>
      </c>
      <c r="J259">
        <v>26344</v>
      </c>
      <c r="K259">
        <v>20089</v>
      </c>
      <c r="L259">
        <v>35540</v>
      </c>
    </row>
    <row r="260" spans="1:12">
      <c r="A260" t="s">
        <v>74</v>
      </c>
      <c r="B260" t="s">
        <v>75</v>
      </c>
      <c r="C260" t="s">
        <v>70</v>
      </c>
      <c r="D260" t="s">
        <v>71</v>
      </c>
      <c r="E260" s="5">
        <f>IFERROR(_xlfn.XLOOKUP($B261,[1]Sheet1!$A:$A,[1]Sheet1!$B:$B),0)</f>
        <v>0</v>
      </c>
      <c r="F260" s="5">
        <f>IFERROR(_xlfn.XLOOKUP($B261,[1]Sheet1!$A:$A,[1]Sheet1!$C:$C),0)</f>
        <v>137</v>
      </c>
      <c r="G260">
        <f>IFERROR(_xlfn.XLOOKUP($B261,[1]Sheet1!$A:$A,[1]Sheet1!$D:$D),0)</f>
        <v>7</v>
      </c>
      <c r="H260">
        <f>IFERROR(_xlfn.XLOOKUP($B261,[1]Sheet1!$A:$A,[1]Sheet1!$E:$E),0)</f>
        <v>43</v>
      </c>
      <c r="I260">
        <v>12347</v>
      </c>
      <c r="J260">
        <v>24276</v>
      </c>
      <c r="K260">
        <v>13335</v>
      </c>
      <c r="L260">
        <v>15982</v>
      </c>
    </row>
    <row r="261" spans="1:12">
      <c r="A261" t="s">
        <v>607</v>
      </c>
      <c r="B261" t="s">
        <v>608</v>
      </c>
      <c r="C261" t="s">
        <v>553</v>
      </c>
      <c r="D261" t="s">
        <v>554</v>
      </c>
      <c r="E261" s="5">
        <f>IFERROR(_xlfn.XLOOKUP($B262,[1]Sheet1!$A:$A,[1]Sheet1!$B:$B),0)</f>
        <v>5</v>
      </c>
      <c r="F261" s="5">
        <f>IFERROR(_xlfn.XLOOKUP($B262,[1]Sheet1!$A:$A,[1]Sheet1!$C:$C),0)</f>
        <v>30</v>
      </c>
      <c r="G261">
        <f>IFERROR(_xlfn.XLOOKUP($B262,[1]Sheet1!$A:$A,[1]Sheet1!$D:$D),0)</f>
        <v>17</v>
      </c>
      <c r="H261">
        <f>IFERROR(_xlfn.XLOOKUP($B262,[1]Sheet1!$A:$A,[1]Sheet1!$E:$E),0)</f>
        <v>17</v>
      </c>
      <c r="I261">
        <v>2377</v>
      </c>
      <c r="J261">
        <v>7400</v>
      </c>
      <c r="K261">
        <v>18764</v>
      </c>
      <c r="L261">
        <v>84281</v>
      </c>
    </row>
    <row r="262" spans="1:12">
      <c r="A262" t="s">
        <v>425</v>
      </c>
      <c r="B262" t="s">
        <v>426</v>
      </c>
      <c r="C262" t="s">
        <v>80</v>
      </c>
      <c r="D262" t="s">
        <v>81</v>
      </c>
      <c r="E262" s="5">
        <f>IFERROR(_xlfn.XLOOKUP($B263,[1]Sheet1!$A:$A,[1]Sheet1!$B:$B),0)</f>
        <v>23</v>
      </c>
      <c r="F262" s="5">
        <f>IFERROR(_xlfn.XLOOKUP($B263,[1]Sheet1!$A:$A,[1]Sheet1!$C:$C),0)</f>
        <v>24</v>
      </c>
      <c r="G262">
        <f>IFERROR(_xlfn.XLOOKUP($B263,[1]Sheet1!$A:$A,[1]Sheet1!$D:$D),0)</f>
        <v>24</v>
      </c>
      <c r="H262">
        <f>IFERROR(_xlfn.XLOOKUP($B263,[1]Sheet1!$A:$A,[1]Sheet1!$E:$E),0)</f>
        <v>26</v>
      </c>
      <c r="I262">
        <v>7958</v>
      </c>
      <c r="J262">
        <v>14290</v>
      </c>
      <c r="K262">
        <v>8235</v>
      </c>
      <c r="L262">
        <v>9525</v>
      </c>
    </row>
    <row r="263" spans="1:12">
      <c r="A263" t="s">
        <v>471</v>
      </c>
      <c r="B263" t="s">
        <v>472</v>
      </c>
      <c r="C263" t="s">
        <v>70</v>
      </c>
      <c r="D263" t="s">
        <v>71</v>
      </c>
      <c r="E263" s="5">
        <f>IFERROR(_xlfn.XLOOKUP($B264,[1]Sheet1!$A:$A,[1]Sheet1!$B:$B),0)</f>
        <v>0</v>
      </c>
      <c r="F263" s="5">
        <f>IFERROR(_xlfn.XLOOKUP($B264,[1]Sheet1!$A:$A,[1]Sheet1!$C:$C),0)</f>
        <v>0</v>
      </c>
      <c r="G263">
        <f>IFERROR(_xlfn.XLOOKUP($B264,[1]Sheet1!$A:$A,[1]Sheet1!$D:$D),0)</f>
        <v>0</v>
      </c>
      <c r="H263">
        <f>IFERROR(_xlfn.XLOOKUP($B264,[1]Sheet1!$A:$A,[1]Sheet1!$E:$E),0)</f>
        <v>0</v>
      </c>
      <c r="I263">
        <v>15495</v>
      </c>
      <c r="J263">
        <v>17838</v>
      </c>
      <c r="K263">
        <v>11819</v>
      </c>
      <c r="L263">
        <v>11090</v>
      </c>
    </row>
    <row r="264" spans="1:12">
      <c r="A264" t="s">
        <v>503</v>
      </c>
      <c r="B264" t="s">
        <v>504</v>
      </c>
      <c r="C264" t="s">
        <v>14</v>
      </c>
      <c r="D264" t="s">
        <v>15</v>
      </c>
      <c r="E264" s="5">
        <f>IFERROR(_xlfn.XLOOKUP($B265,[1]Sheet1!$A:$A,[1]Sheet1!$B:$B),0)</f>
        <v>35</v>
      </c>
      <c r="F264" s="5">
        <f>IFERROR(_xlfn.XLOOKUP($B265,[1]Sheet1!$A:$A,[1]Sheet1!$C:$C),0)</f>
        <v>14</v>
      </c>
      <c r="G264">
        <f>IFERROR(_xlfn.XLOOKUP($B265,[1]Sheet1!$A:$A,[1]Sheet1!$D:$D),0)</f>
        <v>31</v>
      </c>
      <c r="H264">
        <f>IFERROR(_xlfn.XLOOKUP($B265,[1]Sheet1!$A:$A,[1]Sheet1!$E:$E),0)</f>
        <v>18</v>
      </c>
      <c r="I264">
        <v>12833</v>
      </c>
      <c r="J264">
        <v>38054</v>
      </c>
      <c r="K264">
        <v>22929</v>
      </c>
      <c r="L264">
        <v>5824</v>
      </c>
    </row>
    <row r="265" spans="1:12">
      <c r="A265" t="s">
        <v>401</v>
      </c>
      <c r="B265" t="s">
        <v>402</v>
      </c>
      <c r="C265" t="s">
        <v>46</v>
      </c>
      <c r="D265" t="s">
        <v>47</v>
      </c>
      <c r="E265" s="5">
        <f>IFERROR(_xlfn.XLOOKUP($B266,[1]Sheet1!$A:$A,[1]Sheet1!$B:$B),0)</f>
        <v>30</v>
      </c>
      <c r="F265" s="5">
        <f>IFERROR(_xlfn.XLOOKUP($B266,[1]Sheet1!$A:$A,[1]Sheet1!$C:$C),0)</f>
        <v>3</v>
      </c>
      <c r="G265">
        <f>IFERROR(_xlfn.XLOOKUP($B266,[1]Sheet1!$A:$A,[1]Sheet1!$D:$D),0)</f>
        <v>37</v>
      </c>
      <c r="H265">
        <f>IFERROR(_xlfn.XLOOKUP($B266,[1]Sheet1!$A:$A,[1]Sheet1!$E:$E),0)</f>
        <v>10</v>
      </c>
      <c r="I265">
        <v>23097</v>
      </c>
      <c r="J265">
        <v>19639</v>
      </c>
      <c r="K265">
        <v>9835</v>
      </c>
      <c r="L265">
        <v>5733</v>
      </c>
    </row>
    <row r="266" spans="1:12">
      <c r="A266" t="s">
        <v>403</v>
      </c>
      <c r="B266" t="s">
        <v>404</v>
      </c>
      <c r="C266" t="s">
        <v>46</v>
      </c>
      <c r="D266" t="s">
        <v>47</v>
      </c>
      <c r="E266" s="5">
        <f>IFERROR(_xlfn.XLOOKUP($B267,[1]Sheet1!$A:$A,[1]Sheet1!$B:$B),0)</f>
        <v>7</v>
      </c>
      <c r="F266" s="5">
        <f>IFERROR(_xlfn.XLOOKUP($B267,[1]Sheet1!$A:$A,[1]Sheet1!$C:$C),0)</f>
        <v>12</v>
      </c>
      <c r="G266">
        <f>IFERROR(_xlfn.XLOOKUP($B267,[1]Sheet1!$A:$A,[1]Sheet1!$D:$D),0)</f>
        <v>12</v>
      </c>
      <c r="H266">
        <f>IFERROR(_xlfn.XLOOKUP($B267,[1]Sheet1!$A:$A,[1]Sheet1!$E:$E),0)</f>
        <v>23</v>
      </c>
      <c r="I266">
        <v>17251</v>
      </c>
      <c r="J266">
        <v>16034</v>
      </c>
      <c r="K266">
        <v>6660</v>
      </c>
      <c r="L266">
        <v>1355</v>
      </c>
    </row>
    <row r="267" spans="1:12">
      <c r="A267" t="s">
        <v>477</v>
      </c>
      <c r="B267" t="s">
        <v>478</v>
      </c>
      <c r="C267" t="s">
        <v>70</v>
      </c>
      <c r="D267" t="s">
        <v>71</v>
      </c>
      <c r="E267" s="5">
        <f>IFERROR(_xlfn.XLOOKUP($B268,[1]Sheet1!$A:$A,[1]Sheet1!$B:$B),0)</f>
        <v>53</v>
      </c>
      <c r="F267" s="5">
        <f>IFERROR(_xlfn.XLOOKUP($B268,[1]Sheet1!$A:$A,[1]Sheet1!$C:$C),0)</f>
        <v>26</v>
      </c>
      <c r="G267">
        <f>IFERROR(_xlfn.XLOOKUP($B268,[1]Sheet1!$A:$A,[1]Sheet1!$D:$D),0)</f>
        <v>100</v>
      </c>
      <c r="H267">
        <f>IFERROR(_xlfn.XLOOKUP($B268,[1]Sheet1!$A:$A,[1]Sheet1!$E:$E),0)</f>
        <v>56</v>
      </c>
      <c r="I267">
        <v>4354</v>
      </c>
      <c r="J267">
        <v>7133</v>
      </c>
      <c r="K267">
        <v>16848</v>
      </c>
      <c r="L267">
        <v>7356</v>
      </c>
    </row>
    <row r="268" spans="1:12">
      <c r="A268" t="s">
        <v>491</v>
      </c>
      <c r="B268" t="s">
        <v>492</v>
      </c>
      <c r="C268" t="s">
        <v>14</v>
      </c>
      <c r="D268" t="s">
        <v>15</v>
      </c>
      <c r="E268" s="5">
        <f>IFERROR(_xlfn.XLOOKUP($B269,[1]Sheet1!$A:$A,[1]Sheet1!$B:$B),0)</f>
        <v>60</v>
      </c>
      <c r="F268" s="5">
        <f>IFERROR(_xlfn.XLOOKUP($B269,[1]Sheet1!$A:$A,[1]Sheet1!$C:$C),0)</f>
        <v>6</v>
      </c>
      <c r="G268">
        <f>IFERROR(_xlfn.XLOOKUP($B269,[1]Sheet1!$A:$A,[1]Sheet1!$D:$D),0)</f>
        <v>47</v>
      </c>
      <c r="H268">
        <f>IFERROR(_xlfn.XLOOKUP($B269,[1]Sheet1!$A:$A,[1]Sheet1!$E:$E),0)</f>
        <v>38</v>
      </c>
      <c r="I268">
        <v>27416</v>
      </c>
      <c r="J268">
        <v>52145</v>
      </c>
      <c r="K268">
        <v>26512</v>
      </c>
      <c r="L268">
        <v>16692</v>
      </c>
    </row>
    <row r="269" spans="1:12">
      <c r="A269" t="s">
        <v>8</v>
      </c>
      <c r="B269" t="s">
        <v>9</v>
      </c>
      <c r="C269" t="s">
        <v>2</v>
      </c>
      <c r="D269" t="s">
        <v>3</v>
      </c>
      <c r="E269" s="5">
        <f>IFERROR(_xlfn.XLOOKUP($B270,[1]Sheet1!$A:$A,[1]Sheet1!$B:$B),0)</f>
        <v>27</v>
      </c>
      <c r="F269" s="5">
        <f>IFERROR(_xlfn.XLOOKUP($B270,[1]Sheet1!$A:$A,[1]Sheet1!$C:$C),0)</f>
        <v>29</v>
      </c>
      <c r="G269">
        <f>IFERROR(_xlfn.XLOOKUP($B270,[1]Sheet1!$A:$A,[1]Sheet1!$D:$D),0)</f>
        <v>65</v>
      </c>
      <c r="H269">
        <f>IFERROR(_xlfn.XLOOKUP($B270,[1]Sheet1!$A:$A,[1]Sheet1!$E:$E),0)</f>
        <v>92</v>
      </c>
      <c r="I269">
        <v>22209</v>
      </c>
      <c r="J269">
        <v>35494</v>
      </c>
      <c r="K269">
        <v>18298</v>
      </c>
      <c r="L269">
        <v>6444</v>
      </c>
    </row>
    <row r="270" spans="1:12">
      <c r="A270" t="s">
        <v>50</v>
      </c>
      <c r="B270" t="s">
        <v>51</v>
      </c>
      <c r="C270" t="s">
        <v>46</v>
      </c>
      <c r="D270" t="s">
        <v>47</v>
      </c>
      <c r="E270" s="5">
        <f>IFERROR(_xlfn.XLOOKUP($B271,[1]Sheet1!$A:$A,[1]Sheet1!$B:$B),0)</f>
        <v>61</v>
      </c>
      <c r="F270" s="5">
        <f>IFERROR(_xlfn.XLOOKUP($B271,[1]Sheet1!$A:$A,[1]Sheet1!$C:$C),0)</f>
        <v>19</v>
      </c>
      <c r="G270">
        <f>IFERROR(_xlfn.XLOOKUP($B271,[1]Sheet1!$A:$A,[1]Sheet1!$D:$D),0)</f>
        <v>28</v>
      </c>
      <c r="H270">
        <f>IFERROR(_xlfn.XLOOKUP($B271,[1]Sheet1!$A:$A,[1]Sheet1!$E:$E),0)</f>
        <v>20</v>
      </c>
      <c r="I270">
        <v>16542</v>
      </c>
      <c r="J270">
        <v>50860</v>
      </c>
      <c r="K270">
        <v>30437</v>
      </c>
      <c r="L270">
        <v>10166</v>
      </c>
    </row>
    <row r="271" spans="1:12">
      <c r="A271" t="s">
        <v>441</v>
      </c>
      <c r="B271" t="s">
        <v>442</v>
      </c>
      <c r="C271" t="s">
        <v>46</v>
      </c>
      <c r="D271" t="s">
        <v>47</v>
      </c>
      <c r="E271" s="5">
        <f>IFERROR(_xlfn.XLOOKUP($B272,[1]Sheet1!$A:$A,[1]Sheet1!$B:$B),0)</f>
        <v>50</v>
      </c>
      <c r="F271" s="5">
        <f>IFERROR(_xlfn.XLOOKUP($B272,[1]Sheet1!$A:$A,[1]Sheet1!$C:$C),0)</f>
        <v>13</v>
      </c>
      <c r="G271">
        <f>IFERROR(_xlfn.XLOOKUP($B272,[1]Sheet1!$A:$A,[1]Sheet1!$D:$D),0)</f>
        <v>36</v>
      </c>
      <c r="H271">
        <f>IFERROR(_xlfn.XLOOKUP($B272,[1]Sheet1!$A:$A,[1]Sheet1!$E:$E),0)</f>
        <v>43</v>
      </c>
      <c r="I271">
        <v>22562</v>
      </c>
      <c r="J271">
        <v>18740</v>
      </c>
      <c r="K271">
        <v>10693</v>
      </c>
      <c r="L271">
        <v>5323</v>
      </c>
    </row>
    <row r="272" spans="1:12">
      <c r="A272" t="s">
        <v>220</v>
      </c>
      <c r="B272" t="s">
        <v>221</v>
      </c>
      <c r="C272" t="s">
        <v>54</v>
      </c>
      <c r="D272" t="s">
        <v>55</v>
      </c>
      <c r="E272" s="5">
        <f>IFERROR(_xlfn.XLOOKUP($B273,[1]Sheet1!$A:$A,[1]Sheet1!$B:$B),0)</f>
        <v>30</v>
      </c>
      <c r="F272" s="5">
        <f>IFERROR(_xlfn.XLOOKUP($B273,[1]Sheet1!$A:$A,[1]Sheet1!$C:$C),0)</f>
        <v>23</v>
      </c>
      <c r="G272">
        <f>IFERROR(_xlfn.XLOOKUP($B273,[1]Sheet1!$A:$A,[1]Sheet1!$D:$D),0)</f>
        <v>78</v>
      </c>
      <c r="H272">
        <f>IFERROR(_xlfn.XLOOKUP($B273,[1]Sheet1!$A:$A,[1]Sheet1!$E:$E),0)</f>
        <v>101</v>
      </c>
      <c r="I272">
        <v>19286</v>
      </c>
      <c r="J272">
        <v>17216</v>
      </c>
      <c r="K272">
        <v>9833</v>
      </c>
      <c r="L272">
        <v>4021</v>
      </c>
    </row>
    <row r="273" spans="1:12">
      <c r="A273" t="s">
        <v>523</v>
      </c>
      <c r="B273" t="s">
        <v>524</v>
      </c>
      <c r="C273" t="s">
        <v>2</v>
      </c>
      <c r="D273" t="s">
        <v>3</v>
      </c>
      <c r="E273" s="5">
        <f>IFERROR(_xlfn.XLOOKUP($B274,[1]Sheet1!$A:$A,[1]Sheet1!$B:$B),0)</f>
        <v>22</v>
      </c>
      <c r="F273" s="5">
        <f>IFERROR(_xlfn.XLOOKUP($B274,[1]Sheet1!$A:$A,[1]Sheet1!$C:$C),0)</f>
        <v>26</v>
      </c>
      <c r="G273">
        <f>IFERROR(_xlfn.XLOOKUP($B274,[1]Sheet1!$A:$A,[1]Sheet1!$D:$D),0)</f>
        <v>26</v>
      </c>
      <c r="H273">
        <f>IFERROR(_xlfn.XLOOKUP($B274,[1]Sheet1!$A:$A,[1]Sheet1!$E:$E),0)</f>
        <v>9</v>
      </c>
      <c r="I273">
        <v>16201</v>
      </c>
      <c r="J273">
        <v>55039</v>
      </c>
      <c r="K273">
        <v>35518</v>
      </c>
      <c r="L273">
        <v>12158</v>
      </c>
    </row>
    <row r="274" spans="1:12">
      <c r="A274" t="s">
        <v>427</v>
      </c>
      <c r="B274" t="s">
        <v>428</v>
      </c>
      <c r="C274" t="s">
        <v>80</v>
      </c>
      <c r="D274" t="s">
        <v>81</v>
      </c>
      <c r="E274" s="5">
        <f>IFERROR(_xlfn.XLOOKUP($B275,[1]Sheet1!$A:$A,[1]Sheet1!$B:$B),0)</f>
        <v>17</v>
      </c>
      <c r="F274" s="5">
        <f>IFERROR(_xlfn.XLOOKUP($B275,[1]Sheet1!$A:$A,[1]Sheet1!$C:$C),0)</f>
        <v>62</v>
      </c>
      <c r="G274">
        <f>IFERROR(_xlfn.XLOOKUP($B275,[1]Sheet1!$A:$A,[1]Sheet1!$D:$D),0)</f>
        <v>27</v>
      </c>
      <c r="H274">
        <f>IFERROR(_xlfn.XLOOKUP($B275,[1]Sheet1!$A:$A,[1]Sheet1!$E:$E),0)</f>
        <v>49</v>
      </c>
      <c r="I274">
        <v>15738</v>
      </c>
      <c r="J274">
        <v>9152</v>
      </c>
      <c r="K274">
        <v>4481</v>
      </c>
      <c r="L274">
        <v>5300</v>
      </c>
    </row>
    <row r="275" spans="1:12">
      <c r="A275" t="s">
        <v>609</v>
      </c>
      <c r="B275" t="s">
        <v>610</v>
      </c>
      <c r="C275" t="s">
        <v>553</v>
      </c>
      <c r="D275" t="s">
        <v>554</v>
      </c>
      <c r="E275" s="5">
        <f>IFERROR(_xlfn.XLOOKUP($B276,[1]Sheet1!$A:$A,[1]Sheet1!$B:$B),0)</f>
        <v>37</v>
      </c>
      <c r="F275" s="5">
        <f>IFERROR(_xlfn.XLOOKUP($B276,[1]Sheet1!$A:$A,[1]Sheet1!$C:$C),0)</f>
        <v>10</v>
      </c>
      <c r="G275">
        <f>IFERROR(_xlfn.XLOOKUP($B276,[1]Sheet1!$A:$A,[1]Sheet1!$D:$D),0)</f>
        <v>39</v>
      </c>
      <c r="H275">
        <f>IFERROR(_xlfn.XLOOKUP($B276,[1]Sheet1!$A:$A,[1]Sheet1!$E:$E),0)</f>
        <v>49</v>
      </c>
      <c r="I275">
        <v>8611</v>
      </c>
      <c r="J275">
        <v>23003</v>
      </c>
      <c r="K275">
        <v>20167</v>
      </c>
      <c r="L275">
        <v>25737</v>
      </c>
    </row>
    <row r="276" spans="1:12">
      <c r="A276" t="s">
        <v>273</v>
      </c>
      <c r="B276" t="s">
        <v>274</v>
      </c>
      <c r="C276" t="s">
        <v>80</v>
      </c>
      <c r="D276" t="s">
        <v>81</v>
      </c>
      <c r="E276" s="5">
        <f>IFERROR(_xlfn.XLOOKUP($B277,[1]Sheet1!$A:$A,[1]Sheet1!$B:$B),0)</f>
        <v>48</v>
      </c>
      <c r="F276" s="5">
        <f>IFERROR(_xlfn.XLOOKUP($B277,[1]Sheet1!$A:$A,[1]Sheet1!$C:$C),0)</f>
        <v>14</v>
      </c>
      <c r="G276">
        <f>IFERROR(_xlfn.XLOOKUP($B277,[1]Sheet1!$A:$A,[1]Sheet1!$D:$D),0)</f>
        <v>62</v>
      </c>
      <c r="H276">
        <f>IFERROR(_xlfn.XLOOKUP($B277,[1]Sheet1!$A:$A,[1]Sheet1!$E:$E),0)</f>
        <v>72</v>
      </c>
      <c r="I276">
        <v>14477</v>
      </c>
      <c r="J276">
        <v>20406</v>
      </c>
      <c r="K276">
        <v>18041</v>
      </c>
      <c r="L276">
        <v>5224</v>
      </c>
    </row>
    <row r="277" spans="1:12">
      <c r="A277" t="s">
        <v>639</v>
      </c>
      <c r="B277" t="s">
        <v>640</v>
      </c>
      <c r="C277" t="s">
        <v>621</v>
      </c>
      <c r="D277" t="s">
        <v>622</v>
      </c>
      <c r="E277" s="5">
        <f>IFERROR(_xlfn.XLOOKUP($B278,[1]Sheet1!$A:$A,[1]Sheet1!$B:$B),0)</f>
        <v>38</v>
      </c>
      <c r="F277" s="5">
        <f>IFERROR(_xlfn.XLOOKUP($B278,[1]Sheet1!$A:$A,[1]Sheet1!$C:$C),0)</f>
        <v>60</v>
      </c>
      <c r="G277">
        <f>IFERROR(_xlfn.XLOOKUP($B278,[1]Sheet1!$A:$A,[1]Sheet1!$D:$D),0)</f>
        <v>51</v>
      </c>
      <c r="H277">
        <f>IFERROR(_xlfn.XLOOKUP($B278,[1]Sheet1!$A:$A,[1]Sheet1!$E:$E),0)</f>
        <v>62</v>
      </c>
      <c r="I277">
        <v>25167</v>
      </c>
      <c r="J277">
        <v>36244</v>
      </c>
      <c r="K277">
        <v>26665</v>
      </c>
      <c r="L277">
        <v>13199</v>
      </c>
    </row>
    <row r="278" spans="1:12">
      <c r="A278" t="s">
        <v>66</v>
      </c>
      <c r="B278" t="s">
        <v>67</v>
      </c>
      <c r="C278" t="s">
        <v>54</v>
      </c>
      <c r="D278" t="s">
        <v>55</v>
      </c>
      <c r="E278" s="5">
        <f>IFERROR(_xlfn.XLOOKUP($B279,[1]Sheet1!$A:$A,[1]Sheet1!$B:$B),0)</f>
        <v>16</v>
      </c>
      <c r="F278" s="5">
        <f>IFERROR(_xlfn.XLOOKUP($B279,[1]Sheet1!$A:$A,[1]Sheet1!$C:$C),0)</f>
        <v>29</v>
      </c>
      <c r="G278">
        <f>IFERROR(_xlfn.XLOOKUP($B279,[1]Sheet1!$A:$A,[1]Sheet1!$D:$D),0)</f>
        <v>69</v>
      </c>
      <c r="H278">
        <f>IFERROR(_xlfn.XLOOKUP($B279,[1]Sheet1!$A:$A,[1]Sheet1!$E:$E),0)</f>
        <v>70</v>
      </c>
      <c r="I278">
        <v>21354</v>
      </c>
      <c r="J278">
        <v>29458</v>
      </c>
      <c r="K278">
        <v>27788</v>
      </c>
      <c r="L278">
        <v>14584</v>
      </c>
    </row>
    <row r="279" spans="1:12">
      <c r="A279" t="s">
        <v>493</v>
      </c>
      <c r="B279" t="s">
        <v>494</v>
      </c>
      <c r="C279" t="s">
        <v>14</v>
      </c>
      <c r="D279" t="s">
        <v>15</v>
      </c>
      <c r="E279" s="5">
        <f>IFERROR(_xlfn.XLOOKUP($B280,[1]Sheet1!$A:$A,[1]Sheet1!$B:$B),0)</f>
        <v>19</v>
      </c>
      <c r="F279" s="5">
        <f>IFERROR(_xlfn.XLOOKUP($B280,[1]Sheet1!$A:$A,[1]Sheet1!$C:$C),0)</f>
        <v>7</v>
      </c>
      <c r="G279">
        <f>IFERROR(_xlfn.XLOOKUP($B280,[1]Sheet1!$A:$A,[1]Sheet1!$D:$D),0)</f>
        <v>18</v>
      </c>
      <c r="H279">
        <f>IFERROR(_xlfn.XLOOKUP($B280,[1]Sheet1!$A:$A,[1]Sheet1!$E:$E),0)</f>
        <v>11</v>
      </c>
      <c r="I279">
        <v>11904</v>
      </c>
      <c r="J279">
        <v>38449</v>
      </c>
      <c r="K279">
        <v>33953</v>
      </c>
      <c r="L279">
        <v>12799</v>
      </c>
    </row>
    <row r="280" spans="1:12">
      <c r="A280" t="s">
        <v>405</v>
      </c>
      <c r="B280" t="s">
        <v>406</v>
      </c>
      <c r="C280" t="s">
        <v>46</v>
      </c>
      <c r="D280" t="s">
        <v>47</v>
      </c>
      <c r="E280" s="5">
        <f>IFERROR(_xlfn.XLOOKUP($B281,[1]Sheet1!$A:$A,[1]Sheet1!$B:$B),0)</f>
        <v>22</v>
      </c>
      <c r="F280" s="5">
        <f>IFERROR(_xlfn.XLOOKUP($B281,[1]Sheet1!$A:$A,[1]Sheet1!$C:$C),0)</f>
        <v>14</v>
      </c>
      <c r="G280">
        <f>IFERROR(_xlfn.XLOOKUP($B281,[1]Sheet1!$A:$A,[1]Sheet1!$D:$D),0)</f>
        <v>24</v>
      </c>
      <c r="H280">
        <f>IFERROR(_xlfn.XLOOKUP($B281,[1]Sheet1!$A:$A,[1]Sheet1!$E:$E),0)</f>
        <v>9</v>
      </c>
      <c r="I280">
        <v>8763</v>
      </c>
      <c r="J280">
        <v>12665</v>
      </c>
      <c r="K280">
        <v>7052</v>
      </c>
      <c r="L280">
        <v>3636</v>
      </c>
    </row>
    <row r="281" spans="1:12">
      <c r="A281" t="s">
        <v>429</v>
      </c>
      <c r="B281" t="s">
        <v>430</v>
      </c>
      <c r="C281" t="s">
        <v>80</v>
      </c>
      <c r="D281" t="s">
        <v>81</v>
      </c>
      <c r="E281" s="5">
        <f>IFERROR(_xlfn.XLOOKUP($B282,[1]Sheet1!$A:$A,[1]Sheet1!$B:$B),0)</f>
        <v>59</v>
      </c>
      <c r="F281" s="5">
        <f>IFERROR(_xlfn.XLOOKUP($B282,[1]Sheet1!$A:$A,[1]Sheet1!$C:$C),0)</f>
        <v>27</v>
      </c>
      <c r="G281">
        <f>IFERROR(_xlfn.XLOOKUP($B282,[1]Sheet1!$A:$A,[1]Sheet1!$D:$D),0)</f>
        <v>26</v>
      </c>
      <c r="H281">
        <f>IFERROR(_xlfn.XLOOKUP($B282,[1]Sheet1!$A:$A,[1]Sheet1!$E:$E),0)</f>
        <v>39</v>
      </c>
      <c r="I281">
        <v>12692</v>
      </c>
      <c r="J281">
        <v>9916</v>
      </c>
      <c r="K281">
        <v>4844</v>
      </c>
      <c r="L281">
        <v>6323</v>
      </c>
    </row>
    <row r="282" spans="1:12">
      <c r="A282" t="s">
        <v>172</v>
      </c>
      <c r="B282" t="s">
        <v>173</v>
      </c>
      <c r="C282" t="s">
        <v>54</v>
      </c>
      <c r="D282" t="s">
        <v>55</v>
      </c>
      <c r="E282" s="5">
        <f>IFERROR(_xlfn.XLOOKUP($B283,[1]Sheet1!$A:$A,[1]Sheet1!$B:$B),0)</f>
        <v>71</v>
      </c>
      <c r="F282" s="5">
        <f>IFERROR(_xlfn.XLOOKUP($B283,[1]Sheet1!$A:$A,[1]Sheet1!$C:$C),0)</f>
        <v>9</v>
      </c>
      <c r="G282">
        <f>IFERROR(_xlfn.XLOOKUP($B283,[1]Sheet1!$A:$A,[1]Sheet1!$D:$D),0)</f>
        <v>46</v>
      </c>
      <c r="H282">
        <f>IFERROR(_xlfn.XLOOKUP($B283,[1]Sheet1!$A:$A,[1]Sheet1!$E:$E),0)</f>
        <v>22</v>
      </c>
      <c r="I282">
        <v>22214</v>
      </c>
      <c r="J282">
        <v>15003</v>
      </c>
      <c r="K282">
        <v>13183</v>
      </c>
      <c r="L282">
        <v>4916</v>
      </c>
    </row>
    <row r="283" spans="1:12">
      <c r="A283" t="s">
        <v>48</v>
      </c>
      <c r="B283" t="s">
        <v>49</v>
      </c>
      <c r="C283" t="s">
        <v>46</v>
      </c>
      <c r="D283" t="s">
        <v>47</v>
      </c>
      <c r="E283" s="5">
        <f>IFERROR(_xlfn.XLOOKUP($B284,[1]Sheet1!$A:$A,[1]Sheet1!$B:$B),0)</f>
        <v>37</v>
      </c>
      <c r="F283" s="5">
        <f>IFERROR(_xlfn.XLOOKUP($B284,[1]Sheet1!$A:$A,[1]Sheet1!$C:$C),0)</f>
        <v>13</v>
      </c>
      <c r="G283">
        <f>IFERROR(_xlfn.XLOOKUP($B284,[1]Sheet1!$A:$A,[1]Sheet1!$D:$D),0)</f>
        <v>36</v>
      </c>
      <c r="H283">
        <f>IFERROR(_xlfn.XLOOKUP($B284,[1]Sheet1!$A:$A,[1]Sheet1!$E:$E),0)</f>
        <v>26</v>
      </c>
      <c r="I283">
        <v>23899</v>
      </c>
      <c r="J283">
        <v>29065</v>
      </c>
      <c r="K283">
        <v>15539</v>
      </c>
      <c r="L283">
        <v>6492</v>
      </c>
    </row>
    <row r="284" spans="1:12">
      <c r="A284" t="s">
        <v>208</v>
      </c>
      <c r="B284" t="s">
        <v>209</v>
      </c>
      <c r="C284" t="s">
        <v>70</v>
      </c>
      <c r="D284" t="s">
        <v>71</v>
      </c>
      <c r="E284" s="5">
        <f>IFERROR(_xlfn.XLOOKUP($B285,[1]Sheet1!$A:$A,[1]Sheet1!$B:$B),0)</f>
        <v>62</v>
      </c>
      <c r="F284" s="5">
        <f>IFERROR(_xlfn.XLOOKUP($B285,[1]Sheet1!$A:$A,[1]Sheet1!$C:$C),0)</f>
        <v>12</v>
      </c>
      <c r="G284">
        <f>IFERROR(_xlfn.XLOOKUP($B285,[1]Sheet1!$A:$A,[1]Sheet1!$D:$D),0)</f>
        <v>47</v>
      </c>
      <c r="H284">
        <f>IFERROR(_xlfn.XLOOKUP($B285,[1]Sheet1!$A:$A,[1]Sheet1!$E:$E),0)</f>
        <v>28</v>
      </c>
      <c r="I284">
        <v>26999</v>
      </c>
      <c r="J284">
        <v>21191</v>
      </c>
      <c r="K284">
        <v>7435</v>
      </c>
      <c r="L284">
        <v>8387</v>
      </c>
    </row>
    <row r="285" spans="1:12">
      <c r="A285" t="s">
        <v>242</v>
      </c>
      <c r="B285" t="s">
        <v>243</v>
      </c>
      <c r="C285" t="s">
        <v>80</v>
      </c>
      <c r="D285" t="s">
        <v>81</v>
      </c>
      <c r="E285" s="5">
        <f>IFERROR(_xlfn.XLOOKUP($B286,[1]Sheet1!$A:$A,[1]Sheet1!$B:$B),0)</f>
        <v>31</v>
      </c>
      <c r="F285" s="5">
        <f>IFERROR(_xlfn.XLOOKUP($B286,[1]Sheet1!$A:$A,[1]Sheet1!$C:$C),0)</f>
        <v>51</v>
      </c>
      <c r="G285">
        <f>IFERROR(_xlfn.XLOOKUP($B286,[1]Sheet1!$A:$A,[1]Sheet1!$D:$D),0)</f>
        <v>34</v>
      </c>
      <c r="H285">
        <f>IFERROR(_xlfn.XLOOKUP($B286,[1]Sheet1!$A:$A,[1]Sheet1!$E:$E),0)</f>
        <v>36</v>
      </c>
      <c r="I285">
        <v>20554</v>
      </c>
      <c r="J285">
        <v>14714</v>
      </c>
      <c r="K285">
        <v>11883</v>
      </c>
      <c r="L285">
        <v>6042</v>
      </c>
    </row>
    <row r="286" spans="1:12">
      <c r="A286" t="s">
        <v>222</v>
      </c>
      <c r="B286" t="s">
        <v>223</v>
      </c>
      <c r="C286" t="s">
        <v>54</v>
      </c>
      <c r="D286" t="s">
        <v>55</v>
      </c>
      <c r="E286" s="5">
        <f>IFERROR(_xlfn.XLOOKUP($B287,[1]Sheet1!$A:$A,[1]Sheet1!$B:$B),0)</f>
        <v>22</v>
      </c>
      <c r="F286" s="5">
        <f>IFERROR(_xlfn.XLOOKUP($B287,[1]Sheet1!$A:$A,[1]Sheet1!$C:$C),0)</f>
        <v>18</v>
      </c>
      <c r="G286">
        <f>IFERROR(_xlfn.XLOOKUP($B287,[1]Sheet1!$A:$A,[1]Sheet1!$D:$D),0)</f>
        <v>26</v>
      </c>
      <c r="H286">
        <f>IFERROR(_xlfn.XLOOKUP($B287,[1]Sheet1!$A:$A,[1]Sheet1!$E:$E),0)</f>
        <v>34</v>
      </c>
      <c r="I286">
        <v>14625</v>
      </c>
      <c r="J286">
        <v>14240</v>
      </c>
      <c r="K286">
        <v>7458</v>
      </c>
      <c r="L286">
        <v>3346</v>
      </c>
    </row>
    <row r="287" spans="1:12">
      <c r="A287" t="s">
        <v>275</v>
      </c>
      <c r="B287" t="s">
        <v>276</v>
      </c>
      <c r="C287" t="s">
        <v>80</v>
      </c>
      <c r="D287" t="s">
        <v>81</v>
      </c>
      <c r="E287" s="5">
        <f>IFERROR(_xlfn.XLOOKUP($B288,[1]Sheet1!$A:$A,[1]Sheet1!$B:$B),0)</f>
        <v>11</v>
      </c>
      <c r="F287" s="5">
        <f>IFERROR(_xlfn.XLOOKUP($B288,[1]Sheet1!$A:$A,[1]Sheet1!$C:$C),0)</f>
        <v>21</v>
      </c>
      <c r="G287">
        <f>IFERROR(_xlfn.XLOOKUP($B288,[1]Sheet1!$A:$A,[1]Sheet1!$D:$D),0)</f>
        <v>20</v>
      </c>
      <c r="H287">
        <f>IFERROR(_xlfn.XLOOKUP($B288,[1]Sheet1!$A:$A,[1]Sheet1!$E:$E),0)</f>
        <v>11</v>
      </c>
      <c r="I287">
        <v>12622</v>
      </c>
      <c r="J287">
        <v>18441</v>
      </c>
      <c r="K287">
        <v>13778</v>
      </c>
      <c r="L287">
        <v>10978</v>
      </c>
    </row>
    <row r="288" spans="1:12">
      <c r="A288" t="s">
        <v>254</v>
      </c>
      <c r="B288" t="s">
        <v>255</v>
      </c>
      <c r="C288" t="s">
        <v>70</v>
      </c>
      <c r="D288" t="s">
        <v>71</v>
      </c>
      <c r="E288" s="5">
        <f>IFERROR(_xlfn.XLOOKUP($B289,[1]Sheet1!$A:$A,[1]Sheet1!$B:$B),0)</f>
        <v>23</v>
      </c>
      <c r="F288" s="5">
        <f>IFERROR(_xlfn.XLOOKUP($B289,[1]Sheet1!$A:$A,[1]Sheet1!$C:$C),0)</f>
        <v>26</v>
      </c>
      <c r="G288">
        <f>IFERROR(_xlfn.XLOOKUP($B289,[1]Sheet1!$A:$A,[1]Sheet1!$D:$D),0)</f>
        <v>39</v>
      </c>
      <c r="H288">
        <f>IFERROR(_xlfn.XLOOKUP($B289,[1]Sheet1!$A:$A,[1]Sheet1!$E:$E),0)</f>
        <v>38</v>
      </c>
      <c r="I288">
        <v>9584</v>
      </c>
      <c r="J288">
        <v>12976</v>
      </c>
      <c r="K288">
        <v>6801</v>
      </c>
      <c r="L288">
        <v>6308</v>
      </c>
    </row>
    <row r="289" spans="1:12">
      <c r="A289" t="s">
        <v>76</v>
      </c>
      <c r="B289" t="s">
        <v>77</v>
      </c>
      <c r="C289" t="s">
        <v>70</v>
      </c>
      <c r="D289" t="s">
        <v>71</v>
      </c>
      <c r="E289" s="5">
        <f>IFERROR(_xlfn.XLOOKUP($B290,[1]Sheet1!$A:$A,[1]Sheet1!$B:$B),0)</f>
        <v>27</v>
      </c>
      <c r="F289" s="5">
        <f>IFERROR(_xlfn.XLOOKUP($B290,[1]Sheet1!$A:$A,[1]Sheet1!$C:$C),0)</f>
        <v>13</v>
      </c>
      <c r="G289">
        <f>IFERROR(_xlfn.XLOOKUP($B290,[1]Sheet1!$A:$A,[1]Sheet1!$D:$D),0)</f>
        <v>36</v>
      </c>
      <c r="H289">
        <f>IFERROR(_xlfn.XLOOKUP($B290,[1]Sheet1!$A:$A,[1]Sheet1!$E:$E),0)</f>
        <v>30</v>
      </c>
      <c r="I289">
        <v>8295</v>
      </c>
      <c r="J289">
        <v>22883</v>
      </c>
      <c r="K289">
        <v>19405</v>
      </c>
      <c r="L289">
        <v>14411</v>
      </c>
    </row>
    <row r="290" spans="1:12">
      <c r="A290" t="s">
        <v>277</v>
      </c>
      <c r="B290" t="s">
        <v>278</v>
      </c>
      <c r="C290" t="s">
        <v>80</v>
      </c>
      <c r="D290" t="s">
        <v>81</v>
      </c>
      <c r="E290" s="5">
        <f>IFERROR(_xlfn.XLOOKUP($B291,[1]Sheet1!$A:$A,[1]Sheet1!$B:$B),0)</f>
        <v>38</v>
      </c>
      <c r="F290" s="5">
        <f>IFERROR(_xlfn.XLOOKUP($B291,[1]Sheet1!$A:$A,[1]Sheet1!$C:$C),0)</f>
        <v>26</v>
      </c>
      <c r="G290">
        <f>IFERROR(_xlfn.XLOOKUP($B291,[1]Sheet1!$A:$A,[1]Sheet1!$D:$D),0)</f>
        <v>36</v>
      </c>
      <c r="H290">
        <f>IFERROR(_xlfn.XLOOKUP($B291,[1]Sheet1!$A:$A,[1]Sheet1!$E:$E),0)</f>
        <v>33</v>
      </c>
      <c r="I290">
        <v>14478</v>
      </c>
      <c r="J290">
        <v>19843</v>
      </c>
      <c r="K290">
        <v>11506</v>
      </c>
      <c r="L290">
        <v>6261</v>
      </c>
    </row>
    <row r="291" spans="1:12">
      <c r="A291" t="s">
        <v>64</v>
      </c>
      <c r="B291" t="s">
        <v>65</v>
      </c>
      <c r="C291" t="s">
        <v>54</v>
      </c>
      <c r="D291" t="s">
        <v>55</v>
      </c>
      <c r="E291" s="5">
        <f>IFERROR(_xlfn.XLOOKUP($B292,[1]Sheet1!$A:$A,[1]Sheet1!$B:$B),0)</f>
        <v>12</v>
      </c>
      <c r="F291" s="5">
        <f>IFERROR(_xlfn.XLOOKUP($B292,[1]Sheet1!$A:$A,[1]Sheet1!$C:$C),0)</f>
        <v>4</v>
      </c>
      <c r="G291">
        <f>IFERROR(_xlfn.XLOOKUP($B292,[1]Sheet1!$A:$A,[1]Sheet1!$D:$D),0)</f>
        <v>18</v>
      </c>
      <c r="H291">
        <f>IFERROR(_xlfn.XLOOKUP($B292,[1]Sheet1!$A:$A,[1]Sheet1!$E:$E),0)</f>
        <v>26</v>
      </c>
      <c r="I291">
        <v>14125</v>
      </c>
      <c r="J291">
        <v>15617</v>
      </c>
      <c r="K291">
        <v>14226</v>
      </c>
      <c r="L291">
        <v>10818</v>
      </c>
    </row>
    <row r="292" spans="1:12">
      <c r="A292" t="s">
        <v>655</v>
      </c>
      <c r="B292" t="s">
        <v>656</v>
      </c>
      <c r="C292" t="s">
        <v>621</v>
      </c>
      <c r="D292" t="s">
        <v>622</v>
      </c>
      <c r="E292" s="5">
        <f>IFERROR(_xlfn.XLOOKUP($B293,[1]Sheet1!$A:$A,[1]Sheet1!$B:$B),0)</f>
        <v>35</v>
      </c>
      <c r="F292" s="5">
        <f>IFERROR(_xlfn.XLOOKUP($B293,[1]Sheet1!$A:$A,[1]Sheet1!$C:$C),0)</f>
        <v>4</v>
      </c>
      <c r="G292">
        <f>IFERROR(_xlfn.XLOOKUP($B293,[1]Sheet1!$A:$A,[1]Sheet1!$D:$D),0)</f>
        <v>7</v>
      </c>
      <c r="H292">
        <f>IFERROR(_xlfn.XLOOKUP($B293,[1]Sheet1!$A:$A,[1]Sheet1!$E:$E),0)</f>
        <v>24</v>
      </c>
      <c r="I292">
        <v>8061</v>
      </c>
      <c r="J292">
        <v>11220</v>
      </c>
      <c r="K292">
        <v>16130</v>
      </c>
      <c r="L292">
        <v>4193</v>
      </c>
    </row>
    <row r="293" spans="1:12">
      <c r="A293" t="s">
        <v>174</v>
      </c>
      <c r="B293" t="s">
        <v>175</v>
      </c>
      <c r="C293" t="s">
        <v>54</v>
      </c>
      <c r="D293" t="s">
        <v>55</v>
      </c>
      <c r="E293" s="5">
        <f>IFERROR(_xlfn.XLOOKUP($B294,[1]Sheet1!$A:$A,[1]Sheet1!$B:$B),0)</f>
        <v>1</v>
      </c>
      <c r="F293" s="5">
        <f>IFERROR(_xlfn.XLOOKUP($B294,[1]Sheet1!$A:$A,[1]Sheet1!$C:$C),0)</f>
        <v>108</v>
      </c>
      <c r="G293">
        <f>IFERROR(_xlfn.XLOOKUP($B294,[1]Sheet1!$A:$A,[1]Sheet1!$D:$D),0)</f>
        <v>0</v>
      </c>
      <c r="H293">
        <f>IFERROR(_xlfn.XLOOKUP($B294,[1]Sheet1!$A:$A,[1]Sheet1!$E:$E),0)</f>
        <v>11</v>
      </c>
      <c r="I293">
        <v>13191</v>
      </c>
      <c r="J293">
        <v>6974</v>
      </c>
      <c r="K293">
        <v>7037</v>
      </c>
      <c r="L293">
        <v>1816</v>
      </c>
    </row>
    <row r="294" spans="1:12">
      <c r="A294" t="s">
        <v>611</v>
      </c>
      <c r="B294" t="s">
        <v>612</v>
      </c>
      <c r="C294" t="s">
        <v>553</v>
      </c>
      <c r="D294" t="s">
        <v>554</v>
      </c>
      <c r="E294" s="5">
        <f>IFERROR(_xlfn.XLOOKUP($B295,[1]Sheet1!$A:$A,[1]Sheet1!$B:$B),0)</f>
        <v>28</v>
      </c>
      <c r="F294" s="5">
        <f>IFERROR(_xlfn.XLOOKUP($B295,[1]Sheet1!$A:$A,[1]Sheet1!$C:$C),0)</f>
        <v>35</v>
      </c>
      <c r="G294">
        <f>IFERROR(_xlfn.XLOOKUP($B295,[1]Sheet1!$A:$A,[1]Sheet1!$D:$D),0)</f>
        <v>78</v>
      </c>
      <c r="H294">
        <f>IFERROR(_xlfn.XLOOKUP($B295,[1]Sheet1!$A:$A,[1]Sheet1!$E:$E),0)</f>
        <v>26</v>
      </c>
      <c r="I294">
        <v>1127</v>
      </c>
      <c r="J294">
        <v>2744</v>
      </c>
      <c r="K294">
        <v>10654</v>
      </c>
      <c r="L294">
        <v>97258</v>
      </c>
    </row>
    <row r="295" spans="1:12">
      <c r="A295" t="s">
        <v>495</v>
      </c>
      <c r="B295" t="s">
        <v>496</v>
      </c>
      <c r="C295" t="s">
        <v>14</v>
      </c>
      <c r="D295" t="s">
        <v>15</v>
      </c>
      <c r="E295" s="5">
        <f>IFERROR(_xlfn.XLOOKUP($B296,[1]Sheet1!$A:$A,[1]Sheet1!$B:$B),0)</f>
        <v>20</v>
      </c>
      <c r="F295" s="5">
        <f>IFERROR(_xlfn.XLOOKUP($B296,[1]Sheet1!$A:$A,[1]Sheet1!$C:$C),0)</f>
        <v>30</v>
      </c>
      <c r="G295">
        <f>IFERROR(_xlfn.XLOOKUP($B296,[1]Sheet1!$A:$A,[1]Sheet1!$D:$D),0)</f>
        <v>27</v>
      </c>
      <c r="H295">
        <f>IFERROR(_xlfn.XLOOKUP($B296,[1]Sheet1!$A:$A,[1]Sheet1!$E:$E),0)</f>
        <v>31</v>
      </c>
      <c r="I295">
        <v>14601</v>
      </c>
      <c r="J295">
        <v>42193</v>
      </c>
      <c r="K295">
        <v>19976</v>
      </c>
      <c r="L295">
        <v>16236</v>
      </c>
    </row>
    <row r="296" spans="1:12">
      <c r="A296" t="s">
        <v>279</v>
      </c>
      <c r="B296" t="s">
        <v>280</v>
      </c>
      <c r="C296" t="s">
        <v>80</v>
      </c>
      <c r="D296" t="s">
        <v>81</v>
      </c>
      <c r="E296" s="5">
        <f>IFERROR(_xlfn.XLOOKUP($B297,[1]Sheet1!$A:$A,[1]Sheet1!$B:$B),0)</f>
        <v>32</v>
      </c>
      <c r="F296" s="5">
        <f>IFERROR(_xlfn.XLOOKUP($B297,[1]Sheet1!$A:$A,[1]Sheet1!$C:$C),0)</f>
        <v>4</v>
      </c>
      <c r="G296">
        <f>IFERROR(_xlfn.XLOOKUP($B297,[1]Sheet1!$A:$A,[1]Sheet1!$D:$D),0)</f>
        <v>19</v>
      </c>
      <c r="H296">
        <f>IFERROR(_xlfn.XLOOKUP($B297,[1]Sheet1!$A:$A,[1]Sheet1!$E:$E),0)</f>
        <v>21</v>
      </c>
      <c r="I296">
        <v>13128</v>
      </c>
      <c r="J296">
        <v>14606</v>
      </c>
      <c r="K296">
        <v>8381</v>
      </c>
      <c r="L296">
        <v>7919</v>
      </c>
    </row>
    <row r="297" spans="1:12">
      <c r="A297" t="s">
        <v>210</v>
      </c>
      <c r="B297" t="s">
        <v>211</v>
      </c>
      <c r="C297" t="s">
        <v>70</v>
      </c>
      <c r="D297" t="s">
        <v>71</v>
      </c>
      <c r="E297" s="5">
        <f>IFERROR(_xlfn.XLOOKUP($B298,[1]Sheet1!$A:$A,[1]Sheet1!$B:$B),0)</f>
        <v>52</v>
      </c>
      <c r="F297" s="5">
        <f>IFERROR(_xlfn.XLOOKUP($B298,[1]Sheet1!$A:$A,[1]Sheet1!$C:$C),0)</f>
        <v>14</v>
      </c>
      <c r="G297">
        <f>IFERROR(_xlfn.XLOOKUP($B298,[1]Sheet1!$A:$A,[1]Sheet1!$D:$D),0)</f>
        <v>62</v>
      </c>
      <c r="H297">
        <f>IFERROR(_xlfn.XLOOKUP($B298,[1]Sheet1!$A:$A,[1]Sheet1!$E:$E),0)</f>
        <v>37</v>
      </c>
      <c r="I297">
        <v>15507</v>
      </c>
      <c r="J297">
        <v>11427</v>
      </c>
      <c r="K297">
        <v>5803</v>
      </c>
      <c r="L297">
        <v>3159</v>
      </c>
    </row>
    <row r="298" spans="1:12">
      <c r="A298" t="s">
        <v>645</v>
      </c>
      <c r="B298" t="s">
        <v>646</v>
      </c>
      <c r="C298" t="s">
        <v>621</v>
      </c>
      <c r="D298" t="s">
        <v>622</v>
      </c>
      <c r="E298" s="5">
        <f>IFERROR(_xlfn.XLOOKUP($B299,[1]Sheet1!$A:$A,[1]Sheet1!$B:$B),0)</f>
        <v>63</v>
      </c>
      <c r="F298" s="5">
        <f>IFERROR(_xlfn.XLOOKUP($B299,[1]Sheet1!$A:$A,[1]Sheet1!$C:$C),0)</f>
        <v>28</v>
      </c>
      <c r="G298">
        <f>IFERROR(_xlfn.XLOOKUP($B299,[1]Sheet1!$A:$A,[1]Sheet1!$D:$D),0)</f>
        <v>94</v>
      </c>
      <c r="H298">
        <f>IFERROR(_xlfn.XLOOKUP($B299,[1]Sheet1!$A:$A,[1]Sheet1!$E:$E),0)</f>
        <v>71</v>
      </c>
      <c r="I298">
        <v>15949</v>
      </c>
      <c r="J298">
        <v>17532</v>
      </c>
      <c r="K298">
        <v>15091</v>
      </c>
      <c r="L298">
        <v>6333</v>
      </c>
    </row>
    <row r="299" spans="1:12">
      <c r="A299" t="s">
        <v>381</v>
      </c>
      <c r="B299" t="s">
        <v>382</v>
      </c>
      <c r="C299" t="s">
        <v>80</v>
      </c>
      <c r="D299" t="s">
        <v>81</v>
      </c>
      <c r="E299" s="5">
        <f>IFERROR(_xlfn.XLOOKUP($B300,[1]Sheet1!$A:$A,[1]Sheet1!$B:$B),0)</f>
        <v>39</v>
      </c>
      <c r="F299" s="5">
        <f>IFERROR(_xlfn.XLOOKUP($B300,[1]Sheet1!$A:$A,[1]Sheet1!$C:$C),0)</f>
        <v>18</v>
      </c>
      <c r="G299">
        <f>IFERROR(_xlfn.XLOOKUP($B300,[1]Sheet1!$A:$A,[1]Sheet1!$D:$D),0)</f>
        <v>68</v>
      </c>
      <c r="H299">
        <f>IFERROR(_xlfn.XLOOKUP($B300,[1]Sheet1!$A:$A,[1]Sheet1!$E:$E),0)</f>
        <v>43</v>
      </c>
      <c r="I299">
        <v>21151</v>
      </c>
      <c r="J299">
        <v>17558</v>
      </c>
      <c r="K299">
        <v>10387</v>
      </c>
      <c r="L299">
        <v>6387</v>
      </c>
    </row>
    <row r="300" spans="1:12">
      <c r="A300" t="s">
        <v>547</v>
      </c>
      <c r="B300" t="s">
        <v>548</v>
      </c>
      <c r="C300" t="s">
        <v>24</v>
      </c>
      <c r="D300" t="s">
        <v>25</v>
      </c>
      <c r="E300" s="5">
        <f>IFERROR(_xlfn.XLOOKUP($B301,[1]Sheet1!$A:$A,[1]Sheet1!$B:$B),0)</f>
        <v>2</v>
      </c>
      <c r="F300" s="5">
        <f>IFERROR(_xlfn.XLOOKUP($B301,[1]Sheet1!$A:$A,[1]Sheet1!$C:$C),0)</f>
        <v>102</v>
      </c>
      <c r="G300">
        <f>IFERROR(_xlfn.XLOOKUP($B301,[1]Sheet1!$A:$A,[1]Sheet1!$D:$D),0)</f>
        <v>16</v>
      </c>
      <c r="H300">
        <f>IFERROR(_xlfn.XLOOKUP($B301,[1]Sheet1!$A:$A,[1]Sheet1!$E:$E),0)</f>
        <v>60</v>
      </c>
      <c r="I300">
        <v>34197</v>
      </c>
      <c r="J300">
        <v>68246</v>
      </c>
      <c r="K300">
        <v>33718</v>
      </c>
      <c r="L300">
        <v>13856</v>
      </c>
    </row>
    <row r="301" spans="1:12">
      <c r="A301" t="s">
        <v>535</v>
      </c>
      <c r="B301" t="s">
        <v>536</v>
      </c>
      <c r="C301" t="s">
        <v>46</v>
      </c>
      <c r="D301" t="s">
        <v>47</v>
      </c>
      <c r="E301" s="5">
        <f>IFERROR(_xlfn.XLOOKUP($B302,[1]Sheet1!$A:$A,[1]Sheet1!$B:$B),0)</f>
        <v>5</v>
      </c>
      <c r="F301" s="5">
        <f>IFERROR(_xlfn.XLOOKUP($B302,[1]Sheet1!$A:$A,[1]Sheet1!$C:$C),0)</f>
        <v>181</v>
      </c>
      <c r="G301">
        <f>IFERROR(_xlfn.XLOOKUP($B302,[1]Sheet1!$A:$A,[1]Sheet1!$D:$D),0)</f>
        <v>8</v>
      </c>
      <c r="H301">
        <f>IFERROR(_xlfn.XLOOKUP($B302,[1]Sheet1!$A:$A,[1]Sheet1!$E:$E),0)</f>
        <v>60</v>
      </c>
      <c r="I301">
        <v>20550</v>
      </c>
      <c r="J301">
        <v>48092</v>
      </c>
      <c r="K301">
        <v>23982</v>
      </c>
      <c r="L301">
        <v>17027</v>
      </c>
    </row>
    <row r="302" spans="1:12">
      <c r="A302" t="s">
        <v>613</v>
      </c>
      <c r="B302" t="s">
        <v>614</v>
      </c>
      <c r="C302" t="s">
        <v>553</v>
      </c>
      <c r="D302" t="s">
        <v>554</v>
      </c>
      <c r="E302" s="5">
        <f>IFERROR(_xlfn.XLOOKUP($B303,[1]Sheet1!$A:$A,[1]Sheet1!$B:$B),0)</f>
        <v>38</v>
      </c>
      <c r="F302" s="5">
        <f>IFERROR(_xlfn.XLOOKUP($B303,[1]Sheet1!$A:$A,[1]Sheet1!$C:$C),0)</f>
        <v>11</v>
      </c>
      <c r="G302">
        <f>IFERROR(_xlfn.XLOOKUP($B303,[1]Sheet1!$A:$A,[1]Sheet1!$D:$D),0)</f>
        <v>67</v>
      </c>
      <c r="H302">
        <f>IFERROR(_xlfn.XLOOKUP($B303,[1]Sheet1!$A:$A,[1]Sheet1!$E:$E),0)</f>
        <v>51</v>
      </c>
      <c r="I302">
        <v>4241</v>
      </c>
      <c r="J302">
        <v>16840</v>
      </c>
      <c r="K302">
        <v>35667</v>
      </c>
      <c r="L302">
        <v>31555</v>
      </c>
    </row>
    <row r="303" spans="1:12">
      <c r="A303" t="s">
        <v>615</v>
      </c>
      <c r="B303" t="s">
        <v>616</v>
      </c>
      <c r="C303" t="s">
        <v>553</v>
      </c>
      <c r="D303" t="s">
        <v>554</v>
      </c>
      <c r="E303" s="5">
        <f>IFERROR(_xlfn.XLOOKUP($B304,[1]Sheet1!$A:$A,[1]Sheet1!$B:$B),0)</f>
        <v>34</v>
      </c>
      <c r="F303" s="5">
        <f>IFERROR(_xlfn.XLOOKUP($B304,[1]Sheet1!$A:$A,[1]Sheet1!$C:$C),0)</f>
        <v>21</v>
      </c>
      <c r="G303">
        <f>IFERROR(_xlfn.XLOOKUP($B304,[1]Sheet1!$A:$A,[1]Sheet1!$D:$D),0)</f>
        <v>34</v>
      </c>
      <c r="H303">
        <f>IFERROR(_xlfn.XLOOKUP($B304,[1]Sheet1!$A:$A,[1]Sheet1!$E:$E),0)</f>
        <v>27</v>
      </c>
      <c r="I303">
        <v>3031</v>
      </c>
      <c r="J303">
        <v>9640</v>
      </c>
      <c r="K303">
        <v>30521</v>
      </c>
      <c r="L303">
        <v>66056</v>
      </c>
    </row>
    <row r="304" spans="1:12">
      <c r="A304" t="s">
        <v>16</v>
      </c>
      <c r="B304" t="s">
        <v>17</v>
      </c>
      <c r="C304" t="s">
        <v>14</v>
      </c>
      <c r="D304" t="s">
        <v>15</v>
      </c>
      <c r="E304" s="5">
        <f>IFERROR(_xlfn.XLOOKUP($B305,[1]Sheet1!$A:$A,[1]Sheet1!$B:$B),0)</f>
        <v>9</v>
      </c>
      <c r="F304" s="5">
        <f>IFERROR(_xlfn.XLOOKUP($B305,[1]Sheet1!$A:$A,[1]Sheet1!$C:$C),0)</f>
        <v>24</v>
      </c>
      <c r="G304">
        <f>IFERROR(_xlfn.XLOOKUP($B305,[1]Sheet1!$A:$A,[1]Sheet1!$D:$D),0)</f>
        <v>10</v>
      </c>
      <c r="H304">
        <f>IFERROR(_xlfn.XLOOKUP($B305,[1]Sheet1!$A:$A,[1]Sheet1!$E:$E),0)</f>
        <v>29</v>
      </c>
      <c r="I304">
        <v>22273</v>
      </c>
      <c r="J304">
        <v>36508</v>
      </c>
      <c r="K304">
        <v>20642</v>
      </c>
      <c r="L304">
        <v>9294</v>
      </c>
    </row>
    <row r="305" spans="1:12">
      <c r="A305" t="s">
        <v>443</v>
      </c>
      <c r="B305" t="s">
        <v>444</v>
      </c>
      <c r="C305" t="s">
        <v>46</v>
      </c>
      <c r="D305" t="s">
        <v>47</v>
      </c>
      <c r="E305" s="5">
        <f>IFERROR(_xlfn.XLOOKUP($B306,[1]Sheet1!$A:$A,[1]Sheet1!$B:$B),0)</f>
        <v>27</v>
      </c>
      <c r="F305" s="5">
        <f>IFERROR(_xlfn.XLOOKUP($B306,[1]Sheet1!$A:$A,[1]Sheet1!$C:$C),0)</f>
        <v>26</v>
      </c>
      <c r="G305">
        <f>IFERROR(_xlfn.XLOOKUP($B306,[1]Sheet1!$A:$A,[1]Sheet1!$D:$D),0)</f>
        <v>15</v>
      </c>
      <c r="H305">
        <f>IFERROR(_xlfn.XLOOKUP($B306,[1]Sheet1!$A:$A,[1]Sheet1!$E:$E),0)</f>
        <v>20</v>
      </c>
      <c r="I305">
        <v>16000</v>
      </c>
      <c r="J305">
        <v>20010</v>
      </c>
      <c r="K305">
        <v>13086</v>
      </c>
      <c r="L305">
        <v>10235</v>
      </c>
    </row>
    <row r="306" spans="1:12">
      <c r="A306" t="s">
        <v>256</v>
      </c>
      <c r="B306" t="s">
        <v>257</v>
      </c>
      <c r="C306" t="s">
        <v>70</v>
      </c>
      <c r="D306" t="s">
        <v>71</v>
      </c>
      <c r="E306" s="5">
        <f>IFERROR(_xlfn.XLOOKUP($B307,[1]Sheet1!$A:$A,[1]Sheet1!$B:$B),0)</f>
        <v>63</v>
      </c>
      <c r="F306" s="5">
        <f>IFERROR(_xlfn.XLOOKUP($B307,[1]Sheet1!$A:$A,[1]Sheet1!$C:$C),0)</f>
        <v>24</v>
      </c>
      <c r="G306">
        <f>IFERROR(_xlfn.XLOOKUP($B307,[1]Sheet1!$A:$A,[1]Sheet1!$D:$D),0)</f>
        <v>40</v>
      </c>
      <c r="H306">
        <f>IFERROR(_xlfn.XLOOKUP($B307,[1]Sheet1!$A:$A,[1]Sheet1!$E:$E),0)</f>
        <v>23</v>
      </c>
      <c r="I306">
        <v>4152</v>
      </c>
      <c r="J306">
        <v>11135</v>
      </c>
      <c r="K306">
        <v>9839</v>
      </c>
      <c r="L306">
        <v>11410</v>
      </c>
    </row>
    <row r="307" spans="1:12">
      <c r="A307" t="s">
        <v>431</v>
      </c>
      <c r="B307" t="s">
        <v>432</v>
      </c>
      <c r="C307" t="s">
        <v>80</v>
      </c>
      <c r="D307" t="s">
        <v>81</v>
      </c>
      <c r="E307" s="5">
        <f>IFERROR(_xlfn.XLOOKUP($B308,[1]Sheet1!$A:$A,[1]Sheet1!$B:$B),0)</f>
        <v>14</v>
      </c>
      <c r="F307" s="5">
        <f>IFERROR(_xlfn.XLOOKUP($B308,[1]Sheet1!$A:$A,[1]Sheet1!$C:$C),0)</f>
        <v>18</v>
      </c>
      <c r="G307">
        <f>IFERROR(_xlfn.XLOOKUP($B308,[1]Sheet1!$A:$A,[1]Sheet1!$D:$D),0)</f>
        <v>15</v>
      </c>
      <c r="H307">
        <f>IFERROR(_xlfn.XLOOKUP($B308,[1]Sheet1!$A:$A,[1]Sheet1!$E:$E),0)</f>
        <v>21</v>
      </c>
      <c r="I307">
        <v>21167</v>
      </c>
      <c r="J307">
        <v>14422</v>
      </c>
      <c r="K307">
        <v>7463</v>
      </c>
      <c r="L307">
        <v>6934</v>
      </c>
    </row>
    <row r="308" spans="1:12">
      <c r="A308" t="s">
        <v>186</v>
      </c>
      <c r="B308" t="s">
        <v>187</v>
      </c>
      <c r="C308" t="s">
        <v>80</v>
      </c>
      <c r="D308" t="s">
        <v>81</v>
      </c>
      <c r="E308" s="5">
        <f>IFERROR(_xlfn.XLOOKUP($B309,[1]Sheet1!$A:$A,[1]Sheet1!$B:$B),0)</f>
        <v>32</v>
      </c>
      <c r="F308" s="5">
        <f>IFERROR(_xlfn.XLOOKUP($B309,[1]Sheet1!$A:$A,[1]Sheet1!$C:$C),0)</f>
        <v>28</v>
      </c>
      <c r="G308">
        <f>IFERROR(_xlfn.XLOOKUP($B309,[1]Sheet1!$A:$A,[1]Sheet1!$D:$D),0)</f>
        <v>32</v>
      </c>
      <c r="H308">
        <f>IFERROR(_xlfn.XLOOKUP($B309,[1]Sheet1!$A:$A,[1]Sheet1!$E:$E),0)</f>
        <v>21</v>
      </c>
      <c r="I308">
        <v>29838</v>
      </c>
      <c r="J308">
        <v>21164</v>
      </c>
      <c r="K308">
        <v>8554</v>
      </c>
      <c r="L308">
        <v>5909</v>
      </c>
    </row>
    <row r="309" spans="1:12">
      <c r="A309" t="s">
        <v>473</v>
      </c>
      <c r="B309" t="s">
        <v>474</v>
      </c>
      <c r="C309" t="s">
        <v>70</v>
      </c>
      <c r="D309" t="s">
        <v>71</v>
      </c>
      <c r="E309" s="5">
        <f>IFERROR(_xlfn.XLOOKUP($B310,[1]Sheet1!$A:$A,[1]Sheet1!$B:$B),0)</f>
        <v>18</v>
      </c>
      <c r="F309" s="5">
        <f>IFERROR(_xlfn.XLOOKUP($B310,[1]Sheet1!$A:$A,[1]Sheet1!$C:$C),0)</f>
        <v>4</v>
      </c>
      <c r="G309">
        <f>IFERROR(_xlfn.XLOOKUP($B310,[1]Sheet1!$A:$A,[1]Sheet1!$D:$D),0)</f>
        <v>22</v>
      </c>
      <c r="H309">
        <f>IFERROR(_xlfn.XLOOKUP($B310,[1]Sheet1!$A:$A,[1]Sheet1!$E:$E),0)</f>
        <v>18</v>
      </c>
      <c r="I309">
        <v>9217</v>
      </c>
      <c r="J309">
        <v>11254</v>
      </c>
      <c r="K309">
        <v>14814</v>
      </c>
      <c r="L309">
        <v>9820</v>
      </c>
    </row>
    <row r="310" spans="1:12">
      <c r="A310" t="s">
        <v>84</v>
      </c>
      <c r="B310" t="s">
        <v>85</v>
      </c>
      <c r="C310" t="s">
        <v>80</v>
      </c>
      <c r="D310" t="s">
        <v>81</v>
      </c>
      <c r="E310" s="5">
        <f>IFERROR(_xlfn.XLOOKUP($B311,[1]Sheet1!$A:$A,[1]Sheet1!$B:$B),0)</f>
        <v>29</v>
      </c>
      <c r="F310" s="5">
        <f>IFERROR(_xlfn.XLOOKUP($B311,[1]Sheet1!$A:$A,[1]Sheet1!$C:$C),0)</f>
        <v>13</v>
      </c>
      <c r="G310">
        <f>IFERROR(_xlfn.XLOOKUP($B311,[1]Sheet1!$A:$A,[1]Sheet1!$D:$D),0)</f>
        <v>37</v>
      </c>
      <c r="H310">
        <f>IFERROR(_xlfn.XLOOKUP($B311,[1]Sheet1!$A:$A,[1]Sheet1!$E:$E),0)</f>
        <v>24</v>
      </c>
      <c r="I310">
        <v>22031</v>
      </c>
      <c r="J310">
        <v>21690</v>
      </c>
      <c r="K310">
        <v>11369</v>
      </c>
      <c r="L310">
        <v>8882</v>
      </c>
    </row>
    <row r="311" spans="1:12">
      <c r="A311" t="s">
        <v>176</v>
      </c>
      <c r="B311" t="s">
        <v>177</v>
      </c>
      <c r="C311" t="s">
        <v>54</v>
      </c>
      <c r="D311" t="s">
        <v>55</v>
      </c>
      <c r="E311" s="5">
        <f>IFERROR(_xlfn.XLOOKUP($B312,[1]Sheet1!$A:$A,[1]Sheet1!$B:$B),0)</f>
        <v>56</v>
      </c>
      <c r="F311" s="5">
        <f>IFERROR(_xlfn.XLOOKUP($B312,[1]Sheet1!$A:$A,[1]Sheet1!$C:$C),0)</f>
        <v>1</v>
      </c>
      <c r="G311">
        <f>IFERROR(_xlfn.XLOOKUP($B312,[1]Sheet1!$A:$A,[1]Sheet1!$D:$D),0)</f>
        <v>16</v>
      </c>
      <c r="H311">
        <f>IFERROR(_xlfn.XLOOKUP($B312,[1]Sheet1!$A:$A,[1]Sheet1!$E:$E),0)</f>
        <v>16</v>
      </c>
      <c r="I311">
        <v>10702</v>
      </c>
      <c r="J311">
        <v>6570</v>
      </c>
      <c r="K311">
        <v>4948</v>
      </c>
      <c r="L311">
        <v>1552</v>
      </c>
    </row>
    <row r="312" spans="1:12">
      <c r="A312" t="s">
        <v>301</v>
      </c>
      <c r="B312" t="s">
        <v>302</v>
      </c>
      <c r="C312" t="s">
        <v>14</v>
      </c>
      <c r="D312" t="s">
        <v>15</v>
      </c>
      <c r="E312" s="5">
        <f>IFERROR(_xlfn.XLOOKUP($B313,[1]Sheet1!$A:$A,[1]Sheet1!$B:$B),0)</f>
        <v>107</v>
      </c>
      <c r="F312" s="5">
        <f>IFERROR(_xlfn.XLOOKUP($B313,[1]Sheet1!$A:$A,[1]Sheet1!$C:$C),0)</f>
        <v>30</v>
      </c>
      <c r="G312">
        <f>IFERROR(_xlfn.XLOOKUP($B313,[1]Sheet1!$A:$A,[1]Sheet1!$D:$D),0)</f>
        <v>94</v>
      </c>
      <c r="H312">
        <f>IFERROR(_xlfn.XLOOKUP($B313,[1]Sheet1!$A:$A,[1]Sheet1!$E:$E),0)</f>
        <v>81</v>
      </c>
      <c r="I312">
        <v>14794</v>
      </c>
      <c r="J312">
        <v>18277</v>
      </c>
      <c r="K312">
        <v>10184</v>
      </c>
      <c r="L312">
        <v>4049</v>
      </c>
    </row>
    <row r="313" spans="1:12">
      <c r="A313" t="s">
        <v>331</v>
      </c>
      <c r="B313" t="s">
        <v>332</v>
      </c>
      <c r="C313" t="s">
        <v>36</v>
      </c>
      <c r="D313" t="s">
        <v>37</v>
      </c>
      <c r="E313" s="5">
        <f>IFERROR(_xlfn.XLOOKUP($B314,[1]Sheet1!$A:$A,[1]Sheet1!$B:$B),0)</f>
        <v>0</v>
      </c>
      <c r="F313" s="5">
        <f>IFERROR(_xlfn.XLOOKUP($B314,[1]Sheet1!$A:$A,[1]Sheet1!$C:$C),0)</f>
        <v>0</v>
      </c>
      <c r="G313">
        <f>IFERROR(_xlfn.XLOOKUP($B314,[1]Sheet1!$A:$A,[1]Sheet1!$D:$D),0)</f>
        <v>0</v>
      </c>
      <c r="H313">
        <f>IFERROR(_xlfn.XLOOKUP($B314,[1]Sheet1!$A:$A,[1]Sheet1!$E:$E),0)</f>
        <v>0</v>
      </c>
      <c r="I313">
        <v>20995</v>
      </c>
      <c r="J313">
        <v>11472</v>
      </c>
      <c r="K313">
        <v>7014</v>
      </c>
      <c r="L313">
        <v>1554</v>
      </c>
    </row>
    <row r="314" spans="1:12">
      <c r="A314" s="1" t="s">
        <v>681</v>
      </c>
      <c r="B314" s="4" t="s">
        <v>679</v>
      </c>
      <c r="C314" t="s">
        <v>36</v>
      </c>
      <c r="D314" t="s">
        <v>37</v>
      </c>
      <c r="E314" s="5">
        <f>IFERROR(_xlfn.XLOOKUP($B315,[1]Sheet1!$A:$A,[1]Sheet1!$B:$B),0)</f>
        <v>79</v>
      </c>
      <c r="F314" s="5">
        <f>IFERROR(_xlfn.XLOOKUP($B315,[1]Sheet1!$A:$A,[1]Sheet1!$C:$C),0)</f>
        <v>15</v>
      </c>
      <c r="G314">
        <f>IFERROR(_xlfn.XLOOKUP($B315,[1]Sheet1!$A:$A,[1]Sheet1!$D:$D),0)</f>
        <v>61</v>
      </c>
      <c r="H314">
        <f>IFERROR(_xlfn.XLOOKUP($B315,[1]Sheet1!$A:$A,[1]Sheet1!$E:$E),0)</f>
        <v>48</v>
      </c>
      <c r="I314">
        <v>54696</v>
      </c>
      <c r="J314">
        <v>54581</v>
      </c>
      <c r="K314">
        <v>39859</v>
      </c>
      <c r="L314">
        <v>18663</v>
      </c>
    </row>
    <row r="315" spans="1:12">
      <c r="A315" t="s">
        <v>383</v>
      </c>
      <c r="B315" t="s">
        <v>384</v>
      </c>
      <c r="C315" t="s">
        <v>80</v>
      </c>
      <c r="D315" t="s">
        <v>81</v>
      </c>
      <c r="E315" s="5">
        <f>IFERROR(_xlfn.XLOOKUP($B316,[1]Sheet1!$A:$A,[1]Sheet1!$B:$B),0)</f>
        <v>53</v>
      </c>
      <c r="F315" s="5">
        <f>IFERROR(_xlfn.XLOOKUP($B316,[1]Sheet1!$A:$A,[1]Sheet1!$C:$C),0)</f>
        <v>31</v>
      </c>
      <c r="G315">
        <f>IFERROR(_xlfn.XLOOKUP($B316,[1]Sheet1!$A:$A,[1]Sheet1!$D:$D),0)</f>
        <v>62</v>
      </c>
      <c r="H315">
        <f>IFERROR(_xlfn.XLOOKUP($B316,[1]Sheet1!$A:$A,[1]Sheet1!$E:$E),0)</f>
        <v>73</v>
      </c>
      <c r="I315">
        <v>16180</v>
      </c>
      <c r="J315">
        <v>16129</v>
      </c>
      <c r="K315">
        <v>10215</v>
      </c>
      <c r="L315">
        <v>3995</v>
      </c>
    </row>
    <row r="316" spans="1:12">
      <c r="A316" s="1" t="s">
        <v>671</v>
      </c>
      <c r="B316" s="1" t="s">
        <v>672</v>
      </c>
      <c r="C316" t="s">
        <v>70</v>
      </c>
      <c r="D316" t="s">
        <v>71</v>
      </c>
      <c r="E316" s="5">
        <f>IFERROR(_xlfn.XLOOKUP($B317,[1]Sheet1!$A:$A,[1]Sheet1!$B:$B),0)</f>
        <v>43</v>
      </c>
      <c r="F316" s="5">
        <f>IFERROR(_xlfn.XLOOKUP($B317,[1]Sheet1!$A:$A,[1]Sheet1!$C:$C),0)</f>
        <v>16</v>
      </c>
      <c r="G316">
        <f>IFERROR(_xlfn.XLOOKUP($B317,[1]Sheet1!$A:$A,[1]Sheet1!$D:$D),0)</f>
        <v>99</v>
      </c>
      <c r="H316">
        <f>IFERROR(_xlfn.XLOOKUP($B317,[1]Sheet1!$A:$A,[1]Sheet1!$E:$E),0)</f>
        <v>81</v>
      </c>
      <c r="I316">
        <v>27589</v>
      </c>
      <c r="J316">
        <v>22471</v>
      </c>
      <c r="K316">
        <v>18429</v>
      </c>
      <c r="L316">
        <v>8129</v>
      </c>
    </row>
    <row r="317" spans="1:12">
      <c r="A317" t="s">
        <v>617</v>
      </c>
      <c r="B317" t="s">
        <v>618</v>
      </c>
      <c r="C317" t="s">
        <v>553</v>
      </c>
      <c r="D317" t="s">
        <v>554</v>
      </c>
      <c r="E317" s="5">
        <f>IFERROR(_xlfn.XLOOKUP($B318,[1]Sheet1!$A:$A,[1]Sheet1!$B:$B),0)</f>
        <v>43</v>
      </c>
      <c r="F317" s="5">
        <f>IFERROR(_xlfn.XLOOKUP($B318,[1]Sheet1!$A:$A,[1]Sheet1!$C:$C),0)</f>
        <v>14</v>
      </c>
      <c r="G317">
        <f>IFERROR(_xlfn.XLOOKUP($B318,[1]Sheet1!$A:$A,[1]Sheet1!$D:$D),0)</f>
        <v>32</v>
      </c>
      <c r="H317">
        <f>IFERROR(_xlfn.XLOOKUP($B318,[1]Sheet1!$A:$A,[1]Sheet1!$E:$E),0)</f>
        <v>21</v>
      </c>
      <c r="I317">
        <v>1047</v>
      </c>
      <c r="J317">
        <v>1735</v>
      </c>
      <c r="K317">
        <v>6849</v>
      </c>
      <c r="L317">
        <v>66514</v>
      </c>
    </row>
    <row r="318" spans="1:12">
      <c r="A318" t="s">
        <v>497</v>
      </c>
      <c r="B318" t="s">
        <v>498</v>
      </c>
      <c r="C318" t="s">
        <v>14</v>
      </c>
      <c r="D318" t="s">
        <v>15</v>
      </c>
      <c r="E318" s="5">
        <f>IFERROR(_xlfn.XLOOKUP($B319,[1]Sheet1!$A:$A,[1]Sheet1!$B:$B),0)</f>
        <v>27</v>
      </c>
      <c r="F318" s="5">
        <f>IFERROR(_xlfn.XLOOKUP($B319,[1]Sheet1!$A:$A,[1]Sheet1!$C:$C),0)</f>
        <v>22</v>
      </c>
      <c r="G318">
        <f>IFERROR(_xlfn.XLOOKUP($B319,[1]Sheet1!$A:$A,[1]Sheet1!$D:$D),0)</f>
        <v>23</v>
      </c>
      <c r="H318">
        <f>IFERROR(_xlfn.XLOOKUP($B319,[1]Sheet1!$A:$A,[1]Sheet1!$E:$E),0)</f>
        <v>28</v>
      </c>
      <c r="I318">
        <v>27450</v>
      </c>
      <c r="J318">
        <v>65250</v>
      </c>
      <c r="K318">
        <v>37347</v>
      </c>
      <c r="L318">
        <v>10604</v>
      </c>
    </row>
    <row r="319" spans="1:12">
      <c r="A319" t="s">
        <v>116</v>
      </c>
      <c r="B319" t="s">
        <v>117</v>
      </c>
      <c r="C319" t="s">
        <v>54</v>
      </c>
      <c r="D319" t="s">
        <v>55</v>
      </c>
      <c r="E319" s="5">
        <f>IFERROR(_xlfn.XLOOKUP($B320,[1]Sheet1!$A:$A,[1]Sheet1!$B:$B),0)</f>
        <v>40</v>
      </c>
      <c r="F319" s="5">
        <f>IFERROR(_xlfn.XLOOKUP($B320,[1]Sheet1!$A:$A,[1]Sheet1!$C:$C),0)</f>
        <v>35</v>
      </c>
      <c r="G319">
        <f>IFERROR(_xlfn.XLOOKUP($B320,[1]Sheet1!$A:$A,[1]Sheet1!$D:$D),0)</f>
        <v>106</v>
      </c>
      <c r="H319">
        <f>IFERROR(_xlfn.XLOOKUP($B320,[1]Sheet1!$A:$A,[1]Sheet1!$E:$E),0)</f>
        <v>73</v>
      </c>
      <c r="I319">
        <v>75628</v>
      </c>
      <c r="J319">
        <v>68361</v>
      </c>
      <c r="K319">
        <v>44590</v>
      </c>
      <c r="L319">
        <v>19107</v>
      </c>
    </row>
    <row r="320" spans="1:12">
      <c r="A320" t="s">
        <v>244</v>
      </c>
      <c r="B320" t="s">
        <v>245</v>
      </c>
      <c r="C320" t="s">
        <v>80</v>
      </c>
      <c r="D320" t="s">
        <v>81</v>
      </c>
      <c r="E320" s="5">
        <f>IFERROR(_xlfn.XLOOKUP($B321,[1]Sheet1!$A:$A,[1]Sheet1!$B:$B),0)</f>
        <v>19</v>
      </c>
      <c r="F320" s="5">
        <f>IFERROR(_xlfn.XLOOKUP($B321,[1]Sheet1!$A:$A,[1]Sheet1!$C:$C),0)</f>
        <v>21</v>
      </c>
      <c r="G320">
        <f>IFERROR(_xlfn.XLOOKUP($B321,[1]Sheet1!$A:$A,[1]Sheet1!$D:$D),0)</f>
        <v>19</v>
      </c>
      <c r="H320">
        <f>IFERROR(_xlfn.XLOOKUP($B321,[1]Sheet1!$A:$A,[1]Sheet1!$E:$E),0)</f>
        <v>16</v>
      </c>
      <c r="I320">
        <v>18714</v>
      </c>
      <c r="J320">
        <v>13334</v>
      </c>
      <c r="K320">
        <v>10372</v>
      </c>
      <c r="L320">
        <v>6743</v>
      </c>
    </row>
    <row r="321" spans="1:12">
      <c r="A321" t="s">
        <v>90</v>
      </c>
      <c r="B321" t="s">
        <v>91</v>
      </c>
      <c r="C321" t="s">
        <v>80</v>
      </c>
      <c r="D321" t="s">
        <v>81</v>
      </c>
      <c r="E321" s="5">
        <f>IFERROR(_xlfn.XLOOKUP($B322,[1]Sheet1!$A:$A,[1]Sheet1!$B:$B),0)</f>
        <v>53</v>
      </c>
      <c r="F321" s="5">
        <f>IFERROR(_xlfn.XLOOKUP($B322,[1]Sheet1!$A:$A,[1]Sheet1!$C:$C),0)</f>
        <v>23</v>
      </c>
      <c r="G321">
        <f>IFERROR(_xlfn.XLOOKUP($B322,[1]Sheet1!$A:$A,[1]Sheet1!$D:$D),0)</f>
        <v>35</v>
      </c>
      <c r="H321">
        <f>IFERROR(_xlfn.XLOOKUP($B322,[1]Sheet1!$A:$A,[1]Sheet1!$E:$E),0)</f>
        <v>22</v>
      </c>
      <c r="I321">
        <v>18704</v>
      </c>
      <c r="J321">
        <v>15929</v>
      </c>
      <c r="K321">
        <v>10908</v>
      </c>
      <c r="L321">
        <v>12168</v>
      </c>
    </row>
    <row r="322" spans="1:12">
      <c r="A322" t="s">
        <v>507</v>
      </c>
      <c r="B322" t="s">
        <v>508</v>
      </c>
      <c r="C322" t="s">
        <v>14</v>
      </c>
      <c r="D322" t="s">
        <v>15</v>
      </c>
      <c r="E322" s="5">
        <f>IFERROR(_xlfn.XLOOKUP($B323,[1]Sheet1!$A:$A,[1]Sheet1!$B:$B),0)</f>
        <v>20</v>
      </c>
      <c r="F322" s="5">
        <f>IFERROR(_xlfn.XLOOKUP($B323,[1]Sheet1!$A:$A,[1]Sheet1!$C:$C),0)</f>
        <v>15</v>
      </c>
      <c r="G322">
        <f>IFERROR(_xlfn.XLOOKUP($B323,[1]Sheet1!$A:$A,[1]Sheet1!$D:$D),0)</f>
        <v>56</v>
      </c>
      <c r="H322">
        <f>IFERROR(_xlfn.XLOOKUP($B323,[1]Sheet1!$A:$A,[1]Sheet1!$E:$E),0)</f>
        <v>19</v>
      </c>
      <c r="I322">
        <v>24892</v>
      </c>
      <c r="J322">
        <v>59592</v>
      </c>
      <c r="K322">
        <v>33594</v>
      </c>
      <c r="L322">
        <v>16980</v>
      </c>
    </row>
    <row r="323" spans="1:12">
      <c r="A323" t="s">
        <v>433</v>
      </c>
      <c r="B323" t="s">
        <v>434</v>
      </c>
      <c r="C323" t="s">
        <v>80</v>
      </c>
      <c r="D323" t="s">
        <v>81</v>
      </c>
      <c r="E323" s="5">
        <f>IFERROR(_xlfn.XLOOKUP($B324,[1]Sheet1!$A:$A,[1]Sheet1!$B:$B),0)</f>
        <v>20</v>
      </c>
      <c r="F323" s="5">
        <f>IFERROR(_xlfn.XLOOKUP($B324,[1]Sheet1!$A:$A,[1]Sheet1!$C:$C),0)</f>
        <v>9</v>
      </c>
      <c r="G323">
        <f>IFERROR(_xlfn.XLOOKUP($B324,[1]Sheet1!$A:$A,[1]Sheet1!$D:$D),0)</f>
        <v>33</v>
      </c>
      <c r="H323">
        <f>IFERROR(_xlfn.XLOOKUP($B324,[1]Sheet1!$A:$A,[1]Sheet1!$E:$E),0)</f>
        <v>18</v>
      </c>
      <c r="I323">
        <v>12637</v>
      </c>
      <c r="J323">
        <v>10246</v>
      </c>
      <c r="K323">
        <v>7661</v>
      </c>
      <c r="L323">
        <v>9413</v>
      </c>
    </row>
    <row r="324" spans="1:12">
      <c r="A324" t="s">
        <v>92</v>
      </c>
      <c r="B324" t="s">
        <v>93</v>
      </c>
      <c r="C324" t="s">
        <v>80</v>
      </c>
      <c r="D324" t="s">
        <v>81</v>
      </c>
      <c r="E324" s="5">
        <f>IFERROR(_xlfn.XLOOKUP($B325,[1]Sheet1!$A:$A,[1]Sheet1!$B:$B),0)</f>
        <v>26</v>
      </c>
      <c r="F324" s="5">
        <f>IFERROR(_xlfn.XLOOKUP($B325,[1]Sheet1!$A:$A,[1]Sheet1!$C:$C),0)</f>
        <v>39</v>
      </c>
      <c r="G324">
        <f>IFERROR(_xlfn.XLOOKUP($B325,[1]Sheet1!$A:$A,[1]Sheet1!$D:$D),0)</f>
        <v>24</v>
      </c>
      <c r="H324">
        <f>IFERROR(_xlfn.XLOOKUP($B325,[1]Sheet1!$A:$A,[1]Sheet1!$E:$E),0)</f>
        <v>25</v>
      </c>
      <c r="I324">
        <v>29512</v>
      </c>
      <c r="J324">
        <v>20178</v>
      </c>
      <c r="K324">
        <v>9938</v>
      </c>
      <c r="L324">
        <v>7625</v>
      </c>
    </row>
    <row r="325" spans="1:12">
      <c r="A325" t="s">
        <v>537</v>
      </c>
      <c r="B325" t="s">
        <v>538</v>
      </c>
      <c r="C325" t="s">
        <v>46</v>
      </c>
      <c r="D325" t="s">
        <v>47</v>
      </c>
      <c r="E325" s="5">
        <f>IFERROR(_xlfn.XLOOKUP($B326,[1]Sheet1!$A:$A,[1]Sheet1!$B:$B),0)</f>
        <v>53</v>
      </c>
      <c r="F325" s="5">
        <f>IFERROR(_xlfn.XLOOKUP($B326,[1]Sheet1!$A:$A,[1]Sheet1!$C:$C),0)</f>
        <v>6</v>
      </c>
      <c r="G325">
        <f>IFERROR(_xlfn.XLOOKUP($B326,[1]Sheet1!$A:$A,[1]Sheet1!$D:$D),0)</f>
        <v>50</v>
      </c>
      <c r="H325">
        <f>IFERROR(_xlfn.XLOOKUP($B326,[1]Sheet1!$A:$A,[1]Sheet1!$E:$E),0)</f>
        <v>32</v>
      </c>
      <c r="I325">
        <v>17727</v>
      </c>
      <c r="J325">
        <v>48334</v>
      </c>
      <c r="K325">
        <v>17276</v>
      </c>
      <c r="L325">
        <v>18296</v>
      </c>
    </row>
    <row r="326" spans="1:12">
      <c r="A326" t="s">
        <v>465</v>
      </c>
      <c r="B326" t="s">
        <v>466</v>
      </c>
      <c r="C326" t="s">
        <v>46</v>
      </c>
      <c r="D326" t="s">
        <v>47</v>
      </c>
      <c r="E326" s="5">
        <f>IFERROR(_xlfn.XLOOKUP($B327,[1]Sheet1!$A:$A,[1]Sheet1!$B:$B),0)</f>
        <v>48</v>
      </c>
      <c r="F326" s="5">
        <f>IFERROR(_xlfn.XLOOKUP($B327,[1]Sheet1!$A:$A,[1]Sheet1!$C:$C),0)</f>
        <v>10</v>
      </c>
      <c r="G326">
        <f>IFERROR(_xlfn.XLOOKUP($B327,[1]Sheet1!$A:$A,[1]Sheet1!$D:$D),0)</f>
        <v>32</v>
      </c>
      <c r="H326">
        <f>IFERROR(_xlfn.XLOOKUP($B327,[1]Sheet1!$A:$A,[1]Sheet1!$E:$E),0)</f>
        <v>25</v>
      </c>
      <c r="I326">
        <v>9910</v>
      </c>
      <c r="J326">
        <v>15668</v>
      </c>
      <c r="K326">
        <v>9659</v>
      </c>
      <c r="L326">
        <v>7454</v>
      </c>
    </row>
    <row r="327" spans="1:12">
      <c r="A327" t="s">
        <v>457</v>
      </c>
      <c r="B327" t="s">
        <v>458</v>
      </c>
      <c r="C327" t="s">
        <v>80</v>
      </c>
      <c r="D327" t="s">
        <v>81</v>
      </c>
      <c r="E327" s="5">
        <f>IFERROR(_xlfn.XLOOKUP($B328,[1]Sheet1!$A:$A,[1]Sheet1!$B:$B),0)</f>
        <v>60</v>
      </c>
      <c r="F327" s="5">
        <f>IFERROR(_xlfn.XLOOKUP($B328,[1]Sheet1!$A:$A,[1]Sheet1!$C:$C),0)</f>
        <v>5</v>
      </c>
      <c r="G327">
        <f>IFERROR(_xlfn.XLOOKUP($B328,[1]Sheet1!$A:$A,[1]Sheet1!$D:$D),0)</f>
        <v>30</v>
      </c>
      <c r="H327">
        <f>IFERROR(_xlfn.XLOOKUP($B328,[1]Sheet1!$A:$A,[1]Sheet1!$E:$E),0)</f>
        <v>19</v>
      </c>
      <c r="I327">
        <v>10539</v>
      </c>
      <c r="J327">
        <v>11725</v>
      </c>
      <c r="K327">
        <v>9788</v>
      </c>
      <c r="L327">
        <v>11817</v>
      </c>
    </row>
    <row r="328" spans="1:12">
      <c r="A328" t="s">
        <v>631</v>
      </c>
      <c r="B328" t="s">
        <v>632</v>
      </c>
      <c r="C328" t="s">
        <v>621</v>
      </c>
      <c r="D328" t="s">
        <v>622</v>
      </c>
      <c r="E328" s="5">
        <f>IFERROR(_xlfn.XLOOKUP($B329,[1]Sheet1!$A:$A,[1]Sheet1!$B:$B),0)</f>
        <v>0</v>
      </c>
      <c r="F328" s="5">
        <f>IFERROR(_xlfn.XLOOKUP($B329,[1]Sheet1!$A:$A,[1]Sheet1!$C:$C),0)</f>
        <v>2</v>
      </c>
      <c r="G328">
        <f>IFERROR(_xlfn.XLOOKUP($B329,[1]Sheet1!$A:$A,[1]Sheet1!$D:$D),0)</f>
        <v>0</v>
      </c>
      <c r="H328">
        <f>IFERROR(_xlfn.XLOOKUP($B329,[1]Sheet1!$A:$A,[1]Sheet1!$E:$E),0)</f>
        <v>0</v>
      </c>
      <c r="I328">
        <v>18316</v>
      </c>
      <c r="J328">
        <v>21801</v>
      </c>
      <c r="K328">
        <v>11087</v>
      </c>
      <c r="L328">
        <v>5647</v>
      </c>
    </row>
    <row r="329" spans="1:12">
      <c r="A329" t="s">
        <v>467</v>
      </c>
      <c r="B329" t="s">
        <v>468</v>
      </c>
      <c r="C329" t="s">
        <v>46</v>
      </c>
      <c r="D329" t="s">
        <v>47</v>
      </c>
      <c r="E329" s="5">
        <f>IFERROR(_xlfn.XLOOKUP($B330,[1]Sheet1!$A:$A,[1]Sheet1!$B:$B),0)</f>
        <v>35</v>
      </c>
      <c r="F329" s="5">
        <f>IFERROR(_xlfn.XLOOKUP($B330,[1]Sheet1!$A:$A,[1]Sheet1!$C:$C),0)</f>
        <v>4</v>
      </c>
      <c r="G329">
        <f>IFERROR(_xlfn.XLOOKUP($B330,[1]Sheet1!$A:$A,[1]Sheet1!$D:$D),0)</f>
        <v>27</v>
      </c>
      <c r="H329">
        <f>IFERROR(_xlfn.XLOOKUP($B330,[1]Sheet1!$A:$A,[1]Sheet1!$E:$E),0)</f>
        <v>21</v>
      </c>
      <c r="I329">
        <v>23809</v>
      </c>
      <c r="J329">
        <v>17665</v>
      </c>
      <c r="K329">
        <v>9138</v>
      </c>
      <c r="L329">
        <v>4518</v>
      </c>
    </row>
    <row r="330" spans="1:12">
      <c r="A330" t="s">
        <v>303</v>
      </c>
      <c r="B330" t="s">
        <v>304</v>
      </c>
      <c r="C330" t="s">
        <v>14</v>
      </c>
      <c r="D330" t="s">
        <v>15</v>
      </c>
      <c r="E330" s="5">
        <f>IFERROR(_xlfn.XLOOKUP($B331,[1]Sheet1!$A:$A,[1]Sheet1!$B:$B),0)</f>
        <v>37</v>
      </c>
      <c r="F330" s="5">
        <f>IFERROR(_xlfn.XLOOKUP($B331,[1]Sheet1!$A:$A,[1]Sheet1!$C:$C),0)</f>
        <v>18</v>
      </c>
      <c r="G330">
        <f>IFERROR(_xlfn.XLOOKUP($B331,[1]Sheet1!$A:$A,[1]Sheet1!$D:$D),0)</f>
        <v>45</v>
      </c>
      <c r="H330">
        <f>IFERROR(_xlfn.XLOOKUP($B331,[1]Sheet1!$A:$A,[1]Sheet1!$E:$E),0)</f>
        <v>32</v>
      </c>
      <c r="I330">
        <v>15200</v>
      </c>
      <c r="J330">
        <v>20436</v>
      </c>
      <c r="K330">
        <v>8738</v>
      </c>
      <c r="L330">
        <v>3717</v>
      </c>
    </row>
    <row r="331" spans="1:12">
      <c r="A331" t="s">
        <v>469</v>
      </c>
      <c r="B331" t="s">
        <v>470</v>
      </c>
      <c r="C331" t="s">
        <v>46</v>
      </c>
      <c r="D331" t="s">
        <v>47</v>
      </c>
      <c r="E331" s="5">
        <f>IFERROR(_xlfn.XLOOKUP($B332,[1]Sheet1!$A:$A,[1]Sheet1!$B:$B),0)</f>
        <v>11681</v>
      </c>
      <c r="F331" s="5">
        <f>IFERROR(_xlfn.XLOOKUP($B332,[1]Sheet1!$A:$A,[1]Sheet1!$C:$C),0)</f>
        <v>8997</v>
      </c>
      <c r="G331">
        <f>IFERROR(_xlfn.XLOOKUP($B332,[1]Sheet1!$A:$A,[1]Sheet1!$D:$D),0)</f>
        <v>13014</v>
      </c>
      <c r="H331">
        <f>IFERROR(_xlfn.XLOOKUP($B332,[1]Sheet1!$A:$A,[1]Sheet1!$E:$E),0)</f>
        <v>12633</v>
      </c>
      <c r="I331">
        <v>13347</v>
      </c>
      <c r="J331">
        <v>16844</v>
      </c>
      <c r="K331">
        <v>8342</v>
      </c>
      <c r="L331">
        <v>4455</v>
      </c>
    </row>
    <row r="332" spans="1:12">
      <c r="A332" t="s">
        <v>32</v>
      </c>
      <c r="B332" t="s">
        <v>33</v>
      </c>
      <c r="C332" t="s">
        <v>24</v>
      </c>
      <c r="D332" t="s">
        <v>25</v>
      </c>
      <c r="E332" s="5">
        <f>IFERROR(_xlfn.XLOOKUP($B333,[1]Sheet1!$A:$A,[1]Sheet1!$B:$B),0)</f>
        <v>0</v>
      </c>
      <c r="F332" s="5">
        <f>IFERROR(_xlfn.XLOOKUP($B333,[1]Sheet1!$A:$A,[1]Sheet1!$C:$C),0)</f>
        <v>0</v>
      </c>
      <c r="G332">
        <f>IFERROR(_xlfn.XLOOKUP($B333,[1]Sheet1!$A:$A,[1]Sheet1!$D:$D),0)</f>
        <v>0</v>
      </c>
      <c r="H332">
        <f>IFERROR(_xlfn.XLOOKUP($B333,[1]Sheet1!$A:$A,[1]Sheet1!$E:$E),0)</f>
        <v>0</v>
      </c>
      <c r="I332">
        <v>19192</v>
      </c>
      <c r="J332">
        <v>30614</v>
      </c>
      <c r="K332">
        <v>20365</v>
      </c>
      <c r="L332">
        <v>11800</v>
      </c>
    </row>
  </sheetData>
  <sortState xmlns:xlrd2="http://schemas.microsoft.com/office/spreadsheetml/2017/richdata2" ref="A2:D332">
    <sortCondition ref="B2:B33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2718</TrackerID>
    <MoveTo xmlns="2541d45d-41ad-4814-bf67-1422fc7ee58e" xsi:nil="true"/>
  </documentManagement>
</p:properties>
</file>

<file path=customXml/itemProps1.xml><?xml version="1.0" encoding="utf-8"?>
<ds:datastoreItem xmlns:ds="http://schemas.openxmlformats.org/officeDocument/2006/customXml" ds:itemID="{377B9C05-913A-46BD-99E4-246AE3048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61597-2A35-499A-99AB-41B39CAF0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87D4B6-4EE0-4B59-83CA-C0AC606769EC}">
  <ds:schemaRefs>
    <ds:schemaRef ds:uri="http://schemas.microsoft.com/office/2006/metadata/properties"/>
    <ds:schemaRef ds:uri="http://schemas.microsoft.com/office/infopath/2007/PartnerControls"/>
    <ds:schemaRef ds:uri="e73541d3-5dbc-467b-ad85-92b29e93bc53"/>
    <ds:schemaRef ds:uri="2541d45d-41ad-4814-bf67-1422fc7ee5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Sheet5</vt:lpstr>
      <vt:lpstr>LAS_REGION_EW_2021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Internal migration: England and Wales local authority to region lookup</dc:title>
  <dc:creator>Davies, Alistair</dc:creator>
  <cp:lastModifiedBy>Keshav Poudel</cp:lastModifiedBy>
  <dcterms:created xsi:type="dcterms:W3CDTF">2019-03-27T14:09:40Z</dcterms:created>
  <dcterms:modified xsi:type="dcterms:W3CDTF">2025-12-19T20:37:00Z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861400</vt:r8>
  </property>
  <property fmtid="{D5CDD505-2E9C-101B-9397-08002B2CF9AE}" pid="4" name="WorkflowChangePath">
    <vt:lpwstr>2395d2b5-5d32-40ac-981b-f5f663b5fc40,2;2395d2b5-5d32-40ac-981b-f5f663b5fc40,3;</vt:lpwstr>
  </property>
</Properties>
</file>